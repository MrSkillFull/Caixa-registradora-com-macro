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7.xml" ContentType="application/vnd.openxmlformats-officedocument.drawing+xml"/>
  <Override PartName="/xl/tables/table2.xml" ContentType="application/vnd.openxmlformats-officedocument.spreadsheetml.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https://d.docs.live.net/caa0169557742e68/Documentos/"/>
    </mc:Choice>
  </mc:AlternateContent>
  <xr:revisionPtr revIDLastSave="519" documentId="8_{D6E60738-39C1-48F6-9089-87DCAE96ADF3}" xr6:coauthVersionLast="47" xr6:coauthVersionMax="47" xr10:uidLastSave="{85C94BB2-3F97-4164-A01C-ACC155B219FF}"/>
  <bookViews>
    <workbookView xWindow="-110" yWindow="-110" windowWidth="19420" windowHeight="10420" xr2:uid="{7CBFCC16-092F-46D8-B37A-7671D30D1FE0}"/>
  </bookViews>
  <sheets>
    <sheet name="Formulário de venda" sheetId="4" r:id="rId1"/>
    <sheet name="Formulário de saída" sheetId="6" r:id="rId2"/>
    <sheet name="Cadastro de clientes" sheetId="8" r:id="rId3"/>
    <sheet name="Cadastro de produtos" sheetId="9" r:id="rId4"/>
    <sheet name="Cadastro de funcionários" sheetId="10" r:id="rId5"/>
    <sheet name="Fluxo de caixa" sheetId="5" r:id="rId6"/>
    <sheet name="Estoque" sheetId="7" r:id="rId7"/>
    <sheet name="Banco de dados" sheetId="2" r:id="rId8"/>
  </sheets>
  <definedNames>
    <definedName name="SegmentaçãodeDados_Cliente">#N/A</definedName>
    <definedName name="SegmentaçãodeDados_Data">#N/A</definedName>
    <definedName name="SegmentaçãodeDados_Descrição">#N/A</definedName>
    <definedName name="SegmentaçãodeDados_F__de_pagamento">#N/A</definedName>
    <definedName name="SegmentaçãodeDados_Tipo">#N/A</definedName>
    <definedName name="SegmentaçãodeDados_Vendedor">#N/A</definedName>
    <definedName name="Slicer_Produto">#N/A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4:slicerCache r:id="rId13"/>
        <x14:slicerCache r:id="rId14"/>
        <x14:slicerCache r:id="rId1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 i="5" l="1"/>
  <c r="O4" i="5"/>
  <c r="P6" i="10"/>
  <c r="O6" i="10"/>
  <c r="N6" i="10"/>
  <c r="M6" i="10"/>
  <c r="L6" i="10"/>
  <c r="P6" i="9"/>
  <c r="O6" i="9"/>
  <c r="N6" i="9"/>
  <c r="M6" i="9"/>
  <c r="L6" i="9"/>
  <c r="K6" i="9"/>
  <c r="R15" i="2"/>
  <c r="R14" i="2"/>
  <c r="R13" i="2"/>
  <c r="R8" i="2"/>
  <c r="R26" i="2"/>
  <c r="R20" i="2"/>
  <c r="R25" i="2"/>
  <c r="R16" i="2"/>
  <c r="R22" i="2"/>
  <c r="R27" i="2"/>
  <c r="R10" i="2"/>
  <c r="R11" i="2"/>
  <c r="R7" i="2"/>
  <c r="R5" i="2"/>
  <c r="R6" i="2"/>
  <c r="R29" i="2"/>
  <c r="R12" i="2"/>
  <c r="R4" i="2"/>
  <c r="R9" i="2"/>
  <c r="R21" i="2"/>
  <c r="R23" i="2"/>
  <c r="R28" i="2"/>
  <c r="R3" i="2"/>
  <c r="R17" i="2"/>
  <c r="R18" i="2"/>
  <c r="R30" i="2"/>
  <c r="R24" i="2"/>
  <c r="R19" i="2"/>
  <c r="J5" i="8"/>
  <c r="I5" i="8"/>
  <c r="H5" i="8"/>
  <c r="G5" i="8"/>
  <c r="P11" i="6"/>
  <c r="O11" i="6"/>
  <c r="N11" i="6"/>
  <c r="M11" i="6"/>
  <c r="L11" i="6"/>
  <c r="K11" i="6"/>
  <c r="V4" i="6"/>
  <c r="U4" i="6"/>
  <c r="W21" i="2"/>
  <c r="Y21" i="2" s="1"/>
  <c r="W29" i="2"/>
  <c r="Y29" i="2" s="1"/>
  <c r="W6" i="2"/>
  <c r="Y6" i="2" s="1"/>
  <c r="W5" i="2"/>
  <c r="Y5" i="2" s="1"/>
  <c r="W7" i="2"/>
  <c r="Y7" i="2" s="1"/>
  <c r="W27" i="2"/>
  <c r="Y27" i="2" s="1"/>
  <c r="W22" i="2"/>
  <c r="Y22" i="2" s="1"/>
  <c r="W16" i="2"/>
  <c r="Y16" i="2" s="1"/>
  <c r="W20" i="2"/>
  <c r="Y20" i="2" s="1"/>
  <c r="W26" i="2"/>
  <c r="Y26" i="2" s="1"/>
  <c r="W8" i="2"/>
  <c r="Y8" i="2" s="1"/>
  <c r="W13" i="2"/>
  <c r="Y13" i="2" s="1"/>
  <c r="W14" i="2"/>
  <c r="Y14" i="2" s="1"/>
  <c r="W19" i="2"/>
  <c r="S4" i="6"/>
  <c r="W15" i="2"/>
  <c r="Y15" i="2" s="1"/>
  <c r="E5" i="6"/>
  <c r="K4" i="6" s="1"/>
  <c r="T4" i="6"/>
  <c r="R4" i="6"/>
  <c r="Q4" i="6"/>
  <c r="O4" i="6"/>
  <c r="T4" i="4"/>
  <c r="R4" i="4"/>
  <c r="Q4" i="4"/>
  <c r="O4" i="4"/>
  <c r="M4" i="4"/>
  <c r="L4" i="4"/>
  <c r="C1" i="5"/>
  <c r="B1" i="5"/>
  <c r="X19" i="2"/>
  <c r="Y25" i="2"/>
  <c r="Y10" i="2"/>
  <c r="Y11" i="2"/>
  <c r="Y12" i="2"/>
  <c r="Y4" i="2"/>
  <c r="Y9" i="2"/>
  <c r="Y23" i="2"/>
  <c r="Y28" i="2"/>
  <c r="Y3" i="2"/>
  <c r="Y17" i="2"/>
  <c r="Y18" i="2"/>
  <c r="Y30" i="2"/>
  <c r="Y24" i="2"/>
  <c r="E5" i="4"/>
  <c r="K4" i="4" s="1"/>
  <c r="H8" i="4" l="1"/>
  <c r="P4" i="4" s="1"/>
  <c r="H8" i="6"/>
  <c r="P4" i="6" s="1"/>
  <c r="H6" i="4"/>
  <c r="S4" i="4" s="1"/>
  <c r="E1" i="5"/>
  <c r="Y1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Fernando Oliveira</author>
  </authors>
  <commentList>
    <comment ref="H6" authorId="0" shapeId="0" xr:uid="{797E154B-9AD5-49C7-B6FA-D2B16ED97830}">
      <text>
        <r>
          <rPr>
            <b/>
            <sz val="9"/>
            <color indexed="81"/>
            <rFont val="Tahoma"/>
            <family val="2"/>
          </rPr>
          <t>Fernando Oliveira:</t>
        </r>
        <r>
          <rPr>
            <sz val="9"/>
            <color indexed="81"/>
            <rFont val="Tahoma"/>
            <family val="2"/>
          </rPr>
          <t xml:space="preserve">
Acesso simultâneo: Sempre que houver perfis que podem ser acessados por mais de uma pessoa.
Perfil: Sempre que houver contas com mais de um perfil onde somente um acesso pode ser feito por perfil.
Acesso único: Onde a conta não tem sistema de perfis e só pode ser acessada por uma única pessoa de cada vez.</t>
        </r>
      </text>
    </comment>
  </commentList>
</comments>
</file>

<file path=xl/sharedStrings.xml><?xml version="1.0" encoding="utf-8"?>
<sst xmlns="http://schemas.openxmlformats.org/spreadsheetml/2006/main" count="285" uniqueCount="108">
  <si>
    <t>Formulário de venda</t>
  </si>
  <si>
    <t>Data</t>
  </si>
  <si>
    <t>Vendedor</t>
  </si>
  <si>
    <t>Cliente</t>
  </si>
  <si>
    <t>Tipo</t>
  </si>
  <si>
    <t>Qtd</t>
  </si>
  <si>
    <t>Valor</t>
  </si>
  <si>
    <t>Valor pago</t>
  </si>
  <si>
    <t>F/ de pagamento</t>
  </si>
  <si>
    <t>Descrição</t>
  </si>
  <si>
    <t>Observação</t>
  </si>
  <si>
    <t>ENTRADA</t>
  </si>
  <si>
    <t>Protuto</t>
  </si>
  <si>
    <t>Gleyce Kelly</t>
  </si>
  <si>
    <t>Tipo de venda</t>
  </si>
  <si>
    <t>Quantidade</t>
  </si>
  <si>
    <t>Pagamento</t>
  </si>
  <si>
    <t>Forma de pagamento</t>
  </si>
  <si>
    <t xml:space="preserve"> </t>
  </si>
  <si>
    <t>Informações do produto:</t>
  </si>
  <si>
    <t>Conta</t>
  </si>
  <si>
    <t>Senha</t>
  </si>
  <si>
    <t>Observações</t>
  </si>
  <si>
    <t>Formulário de saída</t>
  </si>
  <si>
    <t>NA</t>
  </si>
  <si>
    <t>SAIDA</t>
  </si>
  <si>
    <t>Netflix</t>
  </si>
  <si>
    <t>Comprador</t>
  </si>
  <si>
    <t>Tipo de compra</t>
  </si>
  <si>
    <t>Conta(as)</t>
  </si>
  <si>
    <t>Fornecedor</t>
  </si>
  <si>
    <t>Fávio bot</t>
  </si>
  <si>
    <t>À vista</t>
  </si>
  <si>
    <t>Conta(s)</t>
  </si>
  <si>
    <t>Observação(ões)</t>
  </si>
  <si>
    <t>A pagar</t>
  </si>
  <si>
    <t>Subtotal</t>
  </si>
  <si>
    <t>Fernando Lima</t>
  </si>
  <si>
    <t>Produto</t>
  </si>
  <si>
    <t>Email</t>
  </si>
  <si>
    <t>Perfil(s)</t>
  </si>
  <si>
    <t>Acesso(s)</t>
  </si>
  <si>
    <t>Fornecedores</t>
  </si>
  <si>
    <t>Compradores</t>
  </si>
  <si>
    <t>ID</t>
  </si>
  <si>
    <t>Produtos</t>
  </si>
  <si>
    <t>Tipo venda</t>
  </si>
  <si>
    <t>Valor de compra conta fechada</t>
  </si>
  <si>
    <t>Valor de compra por acesso</t>
  </si>
  <si>
    <t>Valor de venda</t>
  </si>
  <si>
    <t>Lucro</t>
  </si>
  <si>
    <t>Contas</t>
  </si>
  <si>
    <t>Acessos_Simultâneos</t>
  </si>
  <si>
    <t>Alan</t>
  </si>
  <si>
    <t>Suelen Tavares</t>
  </si>
  <si>
    <t>Globo Play + canais + Telecine</t>
  </si>
  <si>
    <t>Cometa bot</t>
  </si>
  <si>
    <t>Globo Play + canais + Premiere</t>
  </si>
  <si>
    <t>Cássio IPTV</t>
  </si>
  <si>
    <t>Globo Play + canais</t>
  </si>
  <si>
    <t>Site Leandro</t>
  </si>
  <si>
    <t>Combo Disney &amp; Star+</t>
  </si>
  <si>
    <t>DC</t>
  </si>
  <si>
    <t>Star+</t>
  </si>
  <si>
    <t>Paramount</t>
  </si>
  <si>
    <t>Perfis</t>
  </si>
  <si>
    <t>Spotify</t>
  </si>
  <si>
    <t>Acesso_único</t>
  </si>
  <si>
    <t>HBO/Max</t>
  </si>
  <si>
    <t>Prime vídeo</t>
  </si>
  <si>
    <t>Telecine</t>
  </si>
  <si>
    <t>Discovery</t>
  </si>
  <si>
    <t>Dizer</t>
  </si>
  <si>
    <t>Claro Vídeo</t>
  </si>
  <si>
    <t>Claro TV</t>
  </si>
  <si>
    <t>Claro TV completa</t>
  </si>
  <si>
    <t>Vivo TV</t>
  </si>
  <si>
    <t>FlaTV</t>
  </si>
  <si>
    <t>Canva pro</t>
  </si>
  <si>
    <t>Crunchyroll</t>
  </si>
  <si>
    <t>Play plus</t>
  </si>
  <si>
    <t>Sexy hot!</t>
  </si>
  <si>
    <t>Tufus</t>
  </si>
  <si>
    <t>Brasileirinhas</t>
  </si>
  <si>
    <t>IPTV</t>
  </si>
  <si>
    <t>My family</t>
  </si>
  <si>
    <t>YouCine</t>
  </si>
  <si>
    <t>Sky</t>
  </si>
  <si>
    <t>Cadastro de clientes</t>
  </si>
  <si>
    <t>Nome</t>
  </si>
  <si>
    <t>Idade</t>
  </si>
  <si>
    <t>Endereço</t>
  </si>
  <si>
    <t>Celular</t>
  </si>
  <si>
    <t>Cargo</t>
  </si>
  <si>
    <t>(00)00000-0000</t>
  </si>
  <si>
    <t>Contato</t>
  </si>
  <si>
    <t>Av. Beira Linha, 1275</t>
  </si>
  <si>
    <t>CEO</t>
  </si>
  <si>
    <t>Vededor(a)</t>
  </si>
  <si>
    <t>Cadastro de produtos</t>
  </si>
  <si>
    <t>Cadastro de novos funcionários</t>
  </si>
  <si>
    <t>Nascimento</t>
  </si>
  <si>
    <t>Enderço</t>
  </si>
  <si>
    <t>Fernando Oliveira</t>
  </si>
  <si>
    <t>15/02/2003</t>
  </si>
  <si>
    <t>Sócio</t>
  </si>
  <si>
    <t>claro video para revender</t>
  </si>
  <si>
    <t>1 Conta(as) Claro Vídeo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</si>
</sst>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R$&quot;\ * #,##0.00_-;\-&quot;R$&quot;\ * #,##0.00_-;_-&quot;R$&quot;\ * &quot;-&quot;??_-;_-@_-"/>
    <numFmt numFmtId="165" formatCode="_-[$R$-416]\ * #,##0.00_-;\-[$R$-416]\ * #,##0.00_-;_-[$R$-416]\ * &quot;-&quot;??_-;_-@_-"/>
    <numFmt numFmtId="166" formatCode="dd/mm/yyyy"/>
  </numFmts>
  <fonts count="20" x14ac:knownFonts="1">
    <font>
      <sz val="11"/>
      <color theme="1"/>
      <name val="Calibri"/>
      <family val="2"/>
      <scheme val="minor"/>
    </font>
    <font>
      <sz val="11"/>
      <color theme="1"/>
      <name val="Calibri"/>
      <family val="2"/>
      <scheme val="minor"/>
    </font>
    <font>
      <sz val="11"/>
      <color theme="0"/>
      <name val="Calibri"/>
      <family val="2"/>
      <scheme val="minor"/>
    </font>
    <font>
      <b/>
      <sz val="20"/>
      <color theme="0"/>
      <name val="Calibri"/>
      <family val="2"/>
      <scheme val="minor"/>
    </font>
    <font>
      <sz val="8"/>
      <name val="Calibri"/>
      <family val="2"/>
      <scheme val="minor"/>
    </font>
    <font>
      <b/>
      <sz val="14"/>
      <color theme="0"/>
      <name val="Calibri"/>
      <family val="2"/>
      <scheme val="minor"/>
    </font>
    <font>
      <u/>
      <sz val="11"/>
      <color theme="10"/>
      <name val="Calibri"/>
      <family val="2"/>
      <scheme val="minor"/>
    </font>
    <font>
      <b/>
      <sz val="16"/>
      <color theme="0"/>
      <name val="Calibri"/>
      <family val="2"/>
      <scheme val="minor"/>
    </font>
    <font>
      <sz val="16"/>
      <color theme="1"/>
      <name val="Calibri"/>
      <family val="2"/>
      <scheme val="minor"/>
    </font>
    <font>
      <sz val="20"/>
      <color theme="1"/>
      <name val="Calibri"/>
      <family val="2"/>
      <scheme val="minor"/>
    </font>
    <font>
      <b/>
      <sz val="16"/>
      <color theme="1"/>
      <name val="Calibri"/>
      <family val="2"/>
      <scheme val="minor"/>
    </font>
    <font>
      <b/>
      <sz val="11"/>
      <color theme="0"/>
      <name val="Calibri"/>
      <family val="2"/>
      <scheme val="minor"/>
    </font>
    <font>
      <sz val="22"/>
      <color theme="0"/>
      <name val="Calibri"/>
      <family val="2"/>
      <scheme val="minor"/>
    </font>
    <font>
      <u/>
      <sz val="11"/>
      <color theme="0"/>
      <name val="Calibri"/>
      <family val="2"/>
      <scheme val="minor"/>
    </font>
    <font>
      <sz val="18"/>
      <color theme="1"/>
      <name val="Calibri"/>
      <family val="2"/>
      <scheme val="minor"/>
    </font>
    <font>
      <sz val="9"/>
      <color indexed="81"/>
      <name val="Tahoma"/>
      <family val="2"/>
    </font>
    <font>
      <b/>
      <sz val="9"/>
      <color indexed="81"/>
      <name val="Tahoma"/>
      <family val="2"/>
    </font>
    <font>
      <b/>
      <sz val="12"/>
      <color theme="0"/>
      <name val="Calibri"/>
      <family val="2"/>
      <scheme val="minor"/>
    </font>
    <font>
      <b/>
      <sz val="22"/>
      <color theme="0"/>
      <name val="Calibri"/>
      <family val="2"/>
      <scheme val="minor"/>
    </font>
    <font>
      <sz val="28"/>
      <color theme="0"/>
      <name val="Calibri"/>
      <family val="2"/>
      <scheme val="minor"/>
    </font>
  </fonts>
  <fills count="8">
    <fill>
      <patternFill patternType="none"/>
    </fill>
    <fill>
      <patternFill patternType="gray125"/>
    </fill>
    <fill>
      <patternFill patternType="solid">
        <fgColor theme="4" tint="-0.249977111117893"/>
        <bgColor indexed="64"/>
      </patternFill>
    </fill>
    <fill>
      <patternFill patternType="solid">
        <fgColor rgb="FFFF0000"/>
        <bgColor indexed="64"/>
      </patternFill>
    </fill>
    <fill>
      <patternFill patternType="solid">
        <fgColor theme="2" tint="-0.499984740745262"/>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4" tint="-0.249977111117893"/>
        <bgColor theme="1"/>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3">
    <xf numFmtId="0" fontId="0" fillId="0" borderId="0"/>
    <xf numFmtId="164" fontId="1" fillId="0" borderId="0" applyFont="0" applyFill="0" applyBorder="0" applyAlignment="0" applyProtection="0"/>
    <xf numFmtId="0" fontId="6" fillId="0" borderId="0" applyNumberFormat="0" applyFill="0" applyBorder="0" applyAlignment="0" applyProtection="0"/>
  </cellStyleXfs>
  <cellXfs count="133">
    <xf numFmtId="0" fontId="0" fillId="0" borderId="0" xfId="0"/>
    <xf numFmtId="0" fontId="0" fillId="0" borderId="5" xfId="0" applyBorder="1"/>
    <xf numFmtId="0" fontId="0" fillId="0" borderId="7" xfId="0" applyBorder="1"/>
    <xf numFmtId="0" fontId="0" fillId="0" borderId="8" xfId="0" applyBorder="1"/>
    <xf numFmtId="0" fontId="0" fillId="0" borderId="4" xfId="0" applyBorder="1"/>
    <xf numFmtId="0" fontId="0" fillId="0" borderId="6" xfId="0" applyBorder="1"/>
    <xf numFmtId="0" fontId="2" fillId="2" borderId="10" xfId="0" applyFont="1" applyFill="1" applyBorder="1" applyAlignment="1">
      <alignment vertical="center"/>
    </xf>
    <xf numFmtId="0" fontId="2" fillId="2" borderId="10" xfId="0" applyFont="1" applyFill="1" applyBorder="1" applyAlignment="1">
      <alignment vertical="center" wrapText="1"/>
    </xf>
    <xf numFmtId="0" fontId="2" fillId="2" borderId="1" xfId="0" applyFont="1" applyFill="1" applyBorder="1" applyAlignment="1">
      <alignment vertical="center"/>
    </xf>
    <xf numFmtId="0" fontId="0" fillId="0" borderId="3" xfId="0" applyBorder="1" applyAlignment="1">
      <alignment horizontal="center"/>
    </xf>
    <xf numFmtId="0" fontId="2" fillId="2" borderId="6" xfId="0" applyFont="1" applyFill="1" applyBorder="1" applyAlignment="1">
      <alignment vertical="center"/>
    </xf>
    <xf numFmtId="164" fontId="0" fillId="0" borderId="8" xfId="1" applyFont="1" applyBorder="1" applyAlignment="1">
      <alignment horizontal="center"/>
    </xf>
    <xf numFmtId="0" fontId="0" fillId="0" borderId="1" xfId="0" applyBorder="1"/>
    <xf numFmtId="0" fontId="0" fillId="0" borderId="2" xfId="0" applyBorder="1"/>
    <xf numFmtId="0" fontId="0" fillId="0" borderId="3" xfId="0" applyBorder="1"/>
    <xf numFmtId="14" fontId="0" fillId="0" borderId="0" xfId="0" applyNumberFormat="1" applyAlignment="1">
      <alignment horizontal="center"/>
    </xf>
    <xf numFmtId="0" fontId="8" fillId="0" borderId="0" xfId="0" applyFont="1"/>
    <xf numFmtId="0" fontId="9" fillId="0" borderId="0" xfId="0" applyFont="1"/>
    <xf numFmtId="164" fontId="9" fillId="0" borderId="0" xfId="1" applyFont="1"/>
    <xf numFmtId="164" fontId="8" fillId="0" borderId="9" xfId="1" applyFont="1" applyBorder="1"/>
    <xf numFmtId="0" fontId="8" fillId="0" borderId="9" xfId="0" applyFont="1" applyBorder="1"/>
    <xf numFmtId="0" fontId="8" fillId="0" borderId="11" xfId="0" applyFont="1" applyBorder="1" applyAlignment="1">
      <alignment horizontal="center" vertical="center"/>
    </xf>
    <xf numFmtId="165" fontId="8" fillId="0" borderId="11" xfId="0" applyNumberFormat="1" applyFont="1" applyBorder="1" applyAlignment="1">
      <alignment horizontal="center"/>
    </xf>
    <xf numFmtId="164" fontId="8" fillId="0" borderId="0" xfId="1" applyFont="1"/>
    <xf numFmtId="164" fontId="0" fillId="0" borderId="0" xfId="1" applyFont="1"/>
    <xf numFmtId="14" fontId="0" fillId="0" borderId="11" xfId="0" applyNumberFormat="1" applyBorder="1" applyAlignment="1">
      <alignment horizontal="center"/>
    </xf>
    <xf numFmtId="0" fontId="0" fillId="0" borderId="11" xfId="0" applyBorder="1" applyAlignment="1">
      <alignment horizontal="center"/>
    </xf>
    <xf numFmtId="0" fontId="2" fillId="3" borderId="10" xfId="0" applyFont="1" applyFill="1" applyBorder="1" applyAlignment="1">
      <alignment vertical="center"/>
    </xf>
    <xf numFmtId="0" fontId="10" fillId="0" borderId="0" xfId="0" applyFont="1" applyAlignment="1">
      <alignment horizontal="left" vertical="center"/>
    </xf>
    <xf numFmtId="0" fontId="10" fillId="0" borderId="0" xfId="0" applyFont="1" applyAlignment="1">
      <alignment horizontal="left" vertical="center" wrapText="1"/>
    </xf>
    <xf numFmtId="165" fontId="8" fillId="0" borderId="0" xfId="0" applyNumberFormat="1" applyFont="1"/>
    <xf numFmtId="0" fontId="0" fillId="0" borderId="9" xfId="0" applyBorder="1"/>
    <xf numFmtId="0" fontId="2" fillId="3" borderId="17" xfId="0" applyFont="1" applyFill="1" applyBorder="1" applyAlignment="1">
      <alignment vertical="center"/>
    </xf>
    <xf numFmtId="0" fontId="2" fillId="3" borderId="17" xfId="0" applyFont="1" applyFill="1" applyBorder="1" applyAlignment="1">
      <alignment vertical="center" wrapText="1"/>
    </xf>
    <xf numFmtId="0" fontId="6" fillId="0" borderId="0" xfId="2" applyAlignment="1">
      <alignment wrapText="1"/>
    </xf>
    <xf numFmtId="0" fontId="0" fillId="0" borderId="0" xfId="0" applyAlignment="1">
      <alignment wrapText="1"/>
    </xf>
    <xf numFmtId="0" fontId="0" fillId="0" borderId="9" xfId="0" applyBorder="1" applyAlignment="1">
      <alignment horizontal="center"/>
    </xf>
    <xf numFmtId="0" fontId="0" fillId="0" borderId="0" xfId="0" applyAlignment="1">
      <alignment horizontal="center"/>
    </xf>
    <xf numFmtId="166" fontId="8" fillId="0" borderId="9" xfId="0" applyNumberFormat="1" applyFont="1" applyBorder="1"/>
    <xf numFmtId="1" fontId="0" fillId="0" borderId="0" xfId="0" applyNumberFormat="1"/>
    <xf numFmtId="1" fontId="0" fillId="0" borderId="2" xfId="0" applyNumberFormat="1" applyBorder="1" applyAlignment="1">
      <alignment horizontal="center" vertical="center"/>
    </xf>
    <xf numFmtId="1" fontId="0" fillId="0" borderId="1" xfId="0" applyNumberFormat="1" applyBorder="1" applyAlignment="1">
      <alignment horizontal="center" vertical="center"/>
    </xf>
    <xf numFmtId="0" fontId="0" fillId="0" borderId="17" xfId="0" applyBorder="1"/>
    <xf numFmtId="0" fontId="2" fillId="4" borderId="17" xfId="0" applyFont="1" applyFill="1" applyBorder="1"/>
    <xf numFmtId="0" fontId="2" fillId="4" borderId="10" xfId="0" applyFont="1" applyFill="1" applyBorder="1"/>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0" xfId="0" applyFont="1" applyFill="1" applyAlignment="1">
      <alignment horizontal="center" vertical="center"/>
    </xf>
    <xf numFmtId="0" fontId="3" fillId="2" borderId="5"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1" xfId="0" applyFont="1" applyFill="1" applyBorder="1" applyAlignment="1">
      <alignment horizontal="center" vertical="center"/>
    </xf>
    <xf numFmtId="14" fontId="6" fillId="0" borderId="10" xfId="2" applyNumberFormat="1" applyBorder="1" applyAlignment="1">
      <alignment horizontal="center"/>
    </xf>
    <xf numFmtId="14" fontId="0" fillId="0" borderId="12" xfId="0" applyNumberFormat="1" applyBorder="1" applyAlignment="1">
      <alignment horizontal="center"/>
    </xf>
    <xf numFmtId="14" fontId="0" fillId="0" borderId="11" xfId="0" applyNumberFormat="1" applyBorder="1" applyAlignment="1">
      <alignment horizontal="center"/>
    </xf>
    <xf numFmtId="0" fontId="0" fillId="0" borderId="10"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14" fontId="0" fillId="0" borderId="1" xfId="0" applyNumberFormat="1" applyBorder="1" applyAlignment="1">
      <alignment horizontal="center" vertical="center"/>
    </xf>
    <xf numFmtId="14" fontId="0" fillId="0" borderId="2" xfId="0" applyNumberFormat="1" applyBorder="1" applyAlignment="1">
      <alignment horizontal="center" vertical="center"/>
    </xf>
    <xf numFmtId="14" fontId="0" fillId="0" borderId="3" xfId="0" applyNumberFormat="1" applyBorder="1" applyAlignment="1">
      <alignment horizontal="center" vertical="center"/>
    </xf>
    <xf numFmtId="14" fontId="0" fillId="0" borderId="6" xfId="0" applyNumberFormat="1" applyBorder="1" applyAlignment="1">
      <alignment horizontal="center" vertical="center"/>
    </xf>
    <xf numFmtId="14" fontId="0" fillId="0" borderId="7" xfId="0" applyNumberFormat="1" applyBorder="1" applyAlignment="1">
      <alignment horizontal="center" vertical="center"/>
    </xf>
    <xf numFmtId="14" fontId="0" fillId="0" borderId="8" xfId="0" applyNumberFormat="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0" xfId="0" applyFont="1" applyFill="1" applyAlignment="1">
      <alignment horizontal="center" vertical="center"/>
    </xf>
    <xf numFmtId="0" fontId="3" fillId="3" borderId="5"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12" xfId="0" applyFont="1" applyFill="1" applyBorder="1" applyAlignment="1">
      <alignment horizontal="center" vertical="center"/>
    </xf>
    <xf numFmtId="0" fontId="5" fillId="3" borderId="11" xfId="0" applyFont="1" applyFill="1" applyBorder="1" applyAlignment="1">
      <alignment horizontal="center" vertical="center"/>
    </xf>
    <xf numFmtId="0" fontId="6" fillId="0" borderId="18" xfId="2" applyFill="1" applyBorder="1" applyAlignment="1">
      <alignment horizontal="center" wrapText="1"/>
    </xf>
    <xf numFmtId="0" fontId="0" fillId="0" borderId="19" xfId="0" applyBorder="1" applyAlignment="1">
      <alignment horizontal="center"/>
    </xf>
    <xf numFmtId="0" fontId="0" fillId="0" borderId="20" xfId="0" applyBorder="1"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0" fillId="0" borderId="8" xfId="0" applyBorder="1" applyAlignment="1">
      <alignment horizontal="center"/>
    </xf>
    <xf numFmtId="0" fontId="2" fillId="3" borderId="15" xfId="0" applyFont="1" applyFill="1" applyBorder="1" applyAlignment="1">
      <alignment horizontal="center" vertical="center"/>
    </xf>
    <xf numFmtId="0" fontId="2" fillId="3" borderId="16" xfId="0" applyFont="1" applyFill="1" applyBorder="1" applyAlignment="1">
      <alignment horizontal="center" vertical="center"/>
    </xf>
    <xf numFmtId="0" fontId="12" fillId="4" borderId="1" xfId="0" applyFont="1" applyFill="1" applyBorder="1" applyAlignment="1">
      <alignment horizontal="center"/>
    </xf>
    <xf numFmtId="0" fontId="12" fillId="4" borderId="3" xfId="0" applyFont="1" applyFill="1" applyBorder="1" applyAlignment="1">
      <alignment horizontal="center"/>
    </xf>
    <xf numFmtId="0" fontId="0" fillId="3" borderId="0" xfId="0" applyFill="1"/>
    <xf numFmtId="0" fontId="2" fillId="4" borderId="21" xfId="0" applyFont="1" applyFill="1" applyBorder="1"/>
    <xf numFmtId="0" fontId="2" fillId="4" borderId="22" xfId="0" applyFont="1" applyFill="1" applyBorder="1"/>
    <xf numFmtId="0" fontId="2" fillId="4" borderId="23" xfId="0" applyFont="1" applyFill="1" applyBorder="1"/>
    <xf numFmtId="0" fontId="8" fillId="0" borderId="14" xfId="0" applyNumberFormat="1" applyFont="1" applyBorder="1"/>
    <xf numFmtId="1" fontId="8" fillId="0" borderId="9" xfId="0" applyNumberFormat="1" applyFont="1" applyBorder="1"/>
    <xf numFmtId="164" fontId="8" fillId="0" borderId="0" xfId="0" applyNumberFormat="1" applyFont="1"/>
    <xf numFmtId="164" fontId="8" fillId="0" borderId="13" xfId="0" applyNumberFormat="1" applyFont="1" applyBorder="1"/>
    <xf numFmtId="165" fontId="8" fillId="0" borderId="9" xfId="0" applyNumberFormat="1" applyFont="1" applyBorder="1"/>
    <xf numFmtId="0" fontId="12" fillId="0" borderId="0" xfId="0" applyFont="1" applyFill="1" applyAlignment="1"/>
    <xf numFmtId="0" fontId="0" fillId="0" borderId="11" xfId="0" applyBorder="1"/>
    <xf numFmtId="164" fontId="0" fillId="0" borderId="11" xfId="1" applyFont="1" applyBorder="1"/>
    <xf numFmtId="0" fontId="17" fillId="5" borderId="18" xfId="0" applyFont="1" applyFill="1" applyBorder="1"/>
    <xf numFmtId="0" fontId="0" fillId="0" borderId="0" xfId="0" applyBorder="1"/>
    <xf numFmtId="0" fontId="14" fillId="0" borderId="0" xfId="0" applyFont="1" applyBorder="1" applyAlignment="1"/>
    <xf numFmtId="0" fontId="6" fillId="0" borderId="0" xfId="2" applyBorder="1"/>
    <xf numFmtId="0" fontId="18" fillId="5" borderId="10" xfId="0" applyFont="1" applyFill="1" applyBorder="1" applyAlignment="1">
      <alignment horizontal="center"/>
    </xf>
    <xf numFmtId="0" fontId="18" fillId="5" borderId="12" xfId="0" applyFont="1" applyFill="1" applyBorder="1" applyAlignment="1">
      <alignment horizontal="center"/>
    </xf>
    <xf numFmtId="0" fontId="18" fillId="5" borderId="11" xfId="0" applyFont="1" applyFill="1" applyBorder="1" applyAlignment="1">
      <alignment horizontal="center"/>
    </xf>
    <xf numFmtId="0" fontId="11" fillId="5" borderId="18" xfId="0" applyFont="1" applyFill="1" applyBorder="1" applyAlignment="1">
      <alignment horizontal="left"/>
    </xf>
    <xf numFmtId="164" fontId="0" fillId="0" borderId="0" xfId="0" applyNumberFormat="1"/>
    <xf numFmtId="0" fontId="2" fillId="6" borderId="18" xfId="0" applyFont="1" applyFill="1" applyBorder="1"/>
    <xf numFmtId="0" fontId="19" fillId="6" borderId="1" xfId="0" applyFont="1" applyFill="1" applyBorder="1" applyAlignment="1">
      <alignment horizontal="center"/>
    </xf>
    <xf numFmtId="0" fontId="19" fillId="6" borderId="2" xfId="0" applyFont="1" applyFill="1" applyBorder="1" applyAlignment="1">
      <alignment horizontal="center"/>
    </xf>
    <xf numFmtId="0" fontId="19" fillId="6" borderId="3" xfId="0" applyFont="1" applyFill="1" applyBorder="1" applyAlignment="1">
      <alignment horizontal="center"/>
    </xf>
    <xf numFmtId="0" fontId="0" fillId="0" borderId="0" xfId="0" applyAlignment="1"/>
    <xf numFmtId="0" fontId="0" fillId="0" borderId="9" xfId="0" applyFill="1" applyBorder="1" applyAlignment="1">
      <alignment horizontal="center"/>
    </xf>
    <xf numFmtId="0" fontId="0" fillId="0" borderId="0" xfId="0" applyFill="1"/>
    <xf numFmtId="0" fontId="0" fillId="2" borderId="0" xfId="0" applyFill="1"/>
    <xf numFmtId="0" fontId="7" fillId="7" borderId="0" xfId="0" applyFont="1" applyFill="1"/>
    <xf numFmtId="14" fontId="2" fillId="2" borderId="0" xfId="0" applyNumberFormat="1" applyFont="1" applyFill="1"/>
    <xf numFmtId="0" fontId="2" fillId="2" borderId="0" xfId="0" applyFont="1" applyFill="1"/>
    <xf numFmtId="164" fontId="2" fillId="2" borderId="0" xfId="0" applyNumberFormat="1" applyFont="1" applyFill="1"/>
    <xf numFmtId="165" fontId="2" fillId="2" borderId="0" xfId="0" applyNumberFormat="1" applyFont="1" applyFill="1"/>
    <xf numFmtId="0" fontId="7" fillId="3" borderId="0" xfId="0" applyFont="1" applyFill="1"/>
    <xf numFmtId="14" fontId="2" fillId="3" borderId="0" xfId="0" applyNumberFormat="1" applyFont="1" applyFill="1"/>
    <xf numFmtId="0" fontId="2" fillId="3" borderId="0" xfId="0" applyFont="1" applyFill="1"/>
    <xf numFmtId="164" fontId="2" fillId="3" borderId="0" xfId="0" applyNumberFormat="1" applyFont="1" applyFill="1"/>
    <xf numFmtId="165" fontId="2" fillId="3" borderId="0" xfId="0" applyNumberFormat="1" applyFont="1" applyFill="1"/>
    <xf numFmtId="0" fontId="11" fillId="3" borderId="0" xfId="0" applyFont="1" applyFill="1"/>
    <xf numFmtId="0" fontId="13" fillId="3" borderId="0" xfId="2" applyFont="1" applyFill="1" applyBorder="1" applyAlignment="1">
      <alignment horizontal="center" wrapText="1"/>
    </xf>
    <xf numFmtId="0" fontId="2" fillId="3" borderId="0" xfId="0" applyFont="1" applyFill="1" applyAlignment="1">
      <alignment horizontal="center"/>
    </xf>
    <xf numFmtId="1" fontId="2" fillId="3" borderId="0" xfId="0" applyNumberFormat="1" applyFont="1" applyFill="1" applyAlignment="1">
      <alignment horizontal="center"/>
    </xf>
    <xf numFmtId="0" fontId="2" fillId="3" borderId="0" xfId="0" applyFont="1" applyFill="1" applyAlignment="1">
      <alignment horizontal="center" vertical="center"/>
    </xf>
    <xf numFmtId="1" fontId="2" fillId="3" borderId="0" xfId="0" applyNumberFormat="1" applyFont="1" applyFill="1" applyAlignment="1">
      <alignment horizontal="center" vertical="center"/>
    </xf>
    <xf numFmtId="0" fontId="8" fillId="0" borderId="20" xfId="0" applyFont="1" applyBorder="1" applyAlignment="1">
      <alignment horizontal="center"/>
    </xf>
  </cellXfs>
  <cellStyles count="3">
    <cellStyle name="Currency" xfId="1" builtinId="4"/>
    <cellStyle name="Hyperlink" xfId="2" builtinId="8"/>
    <cellStyle name="Normal" xfId="0" builtinId="0"/>
  </cellStyles>
  <dxfs count="59">
    <dxf>
      <fill>
        <patternFill>
          <bgColor theme="9" tint="0.39994506668294322"/>
        </patternFill>
      </fill>
    </dxf>
    <dxf>
      <fill>
        <patternFill>
          <bgColor rgb="FFFF0000"/>
        </patternFill>
      </fill>
    </dxf>
    <dxf>
      <font>
        <b val="0"/>
        <strike val="0"/>
        <outline val="0"/>
        <shadow val="0"/>
        <u val="none"/>
        <vertAlign val="baseline"/>
        <sz val="16"/>
        <color theme="1"/>
        <name val="Calibri"/>
        <family val="2"/>
        <scheme val="minor"/>
      </font>
    </dxf>
    <dxf>
      <font>
        <b val="0"/>
        <strike val="0"/>
        <outline val="0"/>
        <shadow val="0"/>
        <u val="none"/>
        <vertAlign val="baseline"/>
        <sz val="16"/>
        <color theme="1"/>
        <name val="Calibri"/>
        <family val="2"/>
        <scheme val="minor"/>
      </font>
      <numFmt numFmtId="165" formatCode="_-[$R$-416]\ * #,##0.00_-;\-[$R$-416]\ * #,##0.00_-;_-[$R$-416]\ * &quot;-&quot;??_-;_-@_-"/>
    </dxf>
    <dxf>
      <font>
        <b val="0"/>
        <strike val="0"/>
        <outline val="0"/>
        <shadow val="0"/>
        <u val="none"/>
        <vertAlign val="baseline"/>
        <sz val="16"/>
        <color theme="1"/>
        <name val="Calibri"/>
        <family val="2"/>
        <scheme val="minor"/>
      </font>
      <numFmt numFmtId="165" formatCode="_-[$R$-416]\ * #,##0.00_-;\-[$R$-416]\ * #,##0.00_-;_-[$R$-416]\ * &quot;-&quot;??_-;_-@_-"/>
    </dxf>
    <dxf>
      <font>
        <b val="0"/>
        <strike val="0"/>
        <outline val="0"/>
        <shadow val="0"/>
        <u val="none"/>
        <vertAlign val="baseline"/>
        <sz val="16"/>
        <color theme="1"/>
        <name val="Calibri"/>
        <family val="2"/>
        <scheme val="minor"/>
      </font>
      <numFmt numFmtId="165" formatCode="_-[$R$-416]\ * #,##0.00_-;\-[$R$-416]\ * #,##0.00_-;_-[$R$-416]\ * &quot;-&quot;??_-;_-@_-"/>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strike val="0"/>
        <outline val="0"/>
        <shadow val="0"/>
        <u val="none"/>
        <vertAlign val="baseline"/>
        <sz val="16"/>
        <color theme="1"/>
        <name val="Calibri"/>
        <family val="2"/>
        <scheme val="minor"/>
      </font>
    </dxf>
    <dxf>
      <font>
        <b val="0"/>
        <strike val="0"/>
        <outline val="0"/>
        <shadow val="0"/>
        <u val="none"/>
        <vertAlign val="baseline"/>
        <sz val="16"/>
        <color theme="1"/>
        <name val="Calibri"/>
        <family val="2"/>
        <scheme val="minor"/>
      </font>
    </dxf>
    <dxf>
      <font>
        <b val="0"/>
        <strike val="0"/>
        <outline val="0"/>
        <shadow val="0"/>
        <u val="none"/>
        <vertAlign val="baseline"/>
        <sz val="16"/>
        <color theme="1"/>
        <name val="Calibri"/>
        <family val="2"/>
        <scheme val="minor"/>
      </font>
      <numFmt numFmtId="1" formatCode="0"/>
    </dxf>
    <dxf>
      <font>
        <b val="0"/>
        <strike val="0"/>
        <outline val="0"/>
        <shadow val="0"/>
        <u val="none"/>
        <vertAlign val="baseline"/>
        <sz val="16"/>
        <color theme="1"/>
        <name val="Calibri"/>
        <family val="2"/>
        <scheme val="minor"/>
      </font>
    </dxf>
    <dxf>
      <font>
        <b val="0"/>
        <strike val="0"/>
        <outline val="0"/>
        <shadow val="0"/>
        <u val="none"/>
        <vertAlign val="baseline"/>
        <sz val="16"/>
        <color theme="1"/>
        <name val="Calibri"/>
        <family val="2"/>
        <scheme val="minor"/>
      </font>
    </dxf>
    <dxf>
      <font>
        <b val="0"/>
        <strike val="0"/>
        <outline val="0"/>
        <shadow val="0"/>
        <u val="none"/>
        <vertAlign val="baseline"/>
        <sz val="16"/>
        <color theme="1"/>
        <name val="Calibri"/>
        <family val="2"/>
        <scheme val="minor"/>
      </font>
    </dxf>
    <dxf>
      <font>
        <b val="0"/>
        <strike val="0"/>
        <outline val="0"/>
        <shadow val="0"/>
        <u val="none"/>
        <vertAlign val="baseline"/>
        <sz val="16"/>
        <color theme="1"/>
        <name val="Calibri"/>
        <family val="2"/>
        <scheme val="minor"/>
      </font>
    </dxf>
    <dxf>
      <font>
        <b val="0"/>
        <strike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numFmt numFmtId="165" formatCode="_-[$R$-416]\ * #,##0.00_-;\-[$R$-416]\ * #,##0.00_-;_-[$R$-416]\ * &quot;-&quot;??_-;_-@_-"/>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numFmt numFmtId="1" formatCode="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16"/>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b/>
        <i val="0"/>
        <strike val="0"/>
        <condense val="0"/>
        <extend val="0"/>
        <outline val="0"/>
        <shadow val="0"/>
        <u val="none"/>
        <vertAlign val="baseline"/>
        <sz val="16"/>
        <color theme="1"/>
        <name val="Calibri"/>
        <family val="2"/>
        <scheme val="minor"/>
      </font>
      <alignment horizontal="left" vertical="center" textRotation="0" wrapText="1" indent="0" justifyLastLine="0" shrinkToFit="0" readingOrder="0"/>
    </dxf>
    <dxf>
      <font>
        <b/>
        <strike val="0"/>
        <outline val="0"/>
        <shadow val="0"/>
        <u val="none"/>
        <vertAlign val="baseline"/>
        <sz val="16"/>
        <color theme="1"/>
        <name val="Calibri"/>
        <family val="2"/>
        <scheme val="minor"/>
      </font>
      <alignment horizontal="left" vertical="center" textRotation="0" indent="0" justifyLastLine="0" shrinkToFit="0" readingOrder="0"/>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b/>
        <strike val="0"/>
        <outline val="0"/>
        <shadow val="0"/>
        <u val="none"/>
        <vertAlign val="baseline"/>
        <sz val="16"/>
        <color theme="1"/>
        <name val="Calibri"/>
        <family val="2"/>
        <scheme val="minor"/>
      </font>
      <alignment horizontal="left" vertical="center" textRotation="0" indent="0" justifyLastLine="0" shrinkToFit="0" readingOrder="0"/>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
      <font>
        <b/>
        <i val="0"/>
        <strike val="0"/>
        <condense val="0"/>
        <extend val="0"/>
        <outline val="0"/>
        <shadow val="0"/>
        <u val="none"/>
        <vertAlign val="baseline"/>
        <sz val="16"/>
        <color theme="1"/>
        <name val="Calibri"/>
        <family val="2"/>
        <scheme val="minor"/>
      </font>
      <alignment horizontal="left" vertical="center" textRotation="0" wrapText="0" indent="0" justifyLastLine="0" shrinkToFit="0" readingOrder="0"/>
    </dxf>
    <dxf>
      <numFmt numFmtId="1" formatCode="0"/>
      <alignment horizontal="center" vertical="center" textRotation="0" wrapText="0" indent="0" justifyLastLine="0" shrinkToFit="0" readingOrder="0"/>
      <border diagonalUp="0" diagonalDown="0" outline="0">
        <left/>
        <right/>
        <top style="medium">
          <color indexed="64"/>
        </top>
        <bottom/>
      </border>
    </dxf>
    <dxf>
      <numFmt numFmtId="1" formatCode="0"/>
      <alignment horizontal="center" vertical="center" textRotation="0" wrapText="0" indent="0" justifyLastLine="0" shrinkToFit="0" readingOrder="0"/>
      <border diagonalUp="0" diagonalDown="0" outline="0">
        <left style="medium">
          <color indexed="64"/>
        </left>
        <right/>
        <top style="medium">
          <color indexed="64"/>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textRotation="0" wrapText="0" indent="0" justifyLastLine="0" shrinkToFit="0" readingOrder="0"/>
    </dxf>
    <dxf>
      <alignment textRotation="0" wrapText="0" indent="0" justifyLastLine="0" shrinkToFit="0" readingOrder="0"/>
    </dxf>
    <dxf>
      <font>
        <strike val="0"/>
        <outline val="0"/>
        <shadow val="0"/>
        <u val="none"/>
        <vertAlign val="baseline"/>
        <sz val="16"/>
        <color theme="1"/>
        <name val="Calibri"/>
        <family val="2"/>
        <scheme val="minor"/>
      </font>
      <numFmt numFmtId="164" formatCode="_-&quot;R$&quot;\ * #,##0.00_-;\-&quot;R$&quot;\ * #,##0.00_-;_-&quot;R$&quot;\ * &quot;-&quot;??_-;_-@_-"/>
      <border diagonalUp="0" diagonalDown="0">
        <left style="medium">
          <color indexed="64"/>
        </left>
        <right style="medium">
          <color indexed="64"/>
        </right>
        <top/>
        <bottom/>
      </border>
    </dxf>
    <dxf>
      <font>
        <b val="0"/>
        <i val="0"/>
        <strike val="0"/>
        <condense val="0"/>
        <extend val="0"/>
        <outline val="0"/>
        <shadow val="0"/>
        <u val="none"/>
        <vertAlign val="baseline"/>
        <sz val="16"/>
        <color theme="1"/>
        <name val="Calibri"/>
        <family val="2"/>
        <scheme val="minor"/>
      </font>
      <numFmt numFmtId="164" formatCode="_-&quot;R$&quot;\ * #,##0.00_-;\-&quot;R$&quot;\ * #,##0.00_-;_-&quot;R$&quot;\ * &quot;-&quot;??_-;_-@_-"/>
    </dxf>
    <dxf>
      <font>
        <strike val="0"/>
        <outline val="0"/>
        <shadow val="0"/>
        <u val="none"/>
        <vertAlign val="baseline"/>
        <sz val="16"/>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6"/>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6"/>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6"/>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6"/>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6"/>
        <color theme="1"/>
        <name val="Calibri"/>
        <family val="2"/>
        <scheme val="minor"/>
      </font>
      <numFmt numFmtId="0" formatCode="General"/>
      <border outline="0">
        <right style="thin">
          <color indexed="64"/>
        </right>
      </border>
    </dxf>
    <dxf>
      <font>
        <strike val="0"/>
        <outline val="0"/>
        <shadow val="0"/>
        <u val="none"/>
        <vertAlign val="baseline"/>
        <sz val="16"/>
        <color theme="1"/>
        <name val="Calibri"/>
        <family val="2"/>
        <scheme val="minor"/>
      </font>
      <numFmt numFmtId="166"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6"/>
        <color theme="1"/>
        <name val="Calibri"/>
        <family val="2"/>
        <scheme val="minor"/>
      </font>
      <numFmt numFmtId="166"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6"/>
        <color theme="1"/>
        <name val="Calibri"/>
        <family val="2"/>
        <scheme val="minor"/>
      </font>
      <numFmt numFmtId="166"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6"/>
        <color theme="1"/>
        <name val="Calibri"/>
        <family val="2"/>
        <scheme val="minor"/>
      </font>
    </dxf>
    <dxf>
      <font>
        <strike val="0"/>
        <outline val="0"/>
        <shadow val="0"/>
        <u val="none"/>
        <vertAlign val="baseline"/>
        <sz val="16"/>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5.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microsoft.com/office/2007/relationships/slicerCache" Target="slicerCaches/slicerCache7.xml"/><Relationship Id="rId10" Type="http://schemas.microsoft.com/office/2007/relationships/slicerCache" Target="slicerCaches/slicerCache2.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68833</xdr:colOff>
      <xdr:row>12</xdr:row>
      <xdr:rowOff>83967</xdr:rowOff>
    </xdr:from>
    <xdr:to>
      <xdr:col>8</xdr:col>
      <xdr:colOff>16566</xdr:colOff>
      <xdr:row>15</xdr:row>
      <xdr:rowOff>67402</xdr:rowOff>
    </xdr:to>
    <xdr:sp macro="[0]!Registrar_venda" textlink="">
      <xdr:nvSpPr>
        <xdr:cNvPr id="2" name="Retângulo 1">
          <a:extLst>
            <a:ext uri="{FF2B5EF4-FFF2-40B4-BE49-F238E27FC236}">
              <a16:creationId xmlns:a16="http://schemas.microsoft.com/office/drawing/2014/main" id="{15CAF3DA-A5AA-0E21-196B-4A57E33A80A0}"/>
            </a:ext>
          </a:extLst>
        </xdr:cNvPr>
        <xdr:cNvSpPr/>
      </xdr:nvSpPr>
      <xdr:spPr>
        <a:xfrm>
          <a:off x="4491746" y="2485924"/>
          <a:ext cx="1297798" cy="5715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400"/>
            <a:t>CADASTRAR</a:t>
          </a:r>
          <a:r>
            <a:rPr lang="pt-BR" sz="1400" baseline="0"/>
            <a:t> VENDA</a:t>
          </a:r>
          <a:endParaRPr lang="pt-BR"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68833</xdr:colOff>
      <xdr:row>12</xdr:row>
      <xdr:rowOff>83967</xdr:rowOff>
    </xdr:from>
    <xdr:to>
      <xdr:col>8</xdr:col>
      <xdr:colOff>16566</xdr:colOff>
      <xdr:row>15</xdr:row>
      <xdr:rowOff>67402</xdr:rowOff>
    </xdr:to>
    <xdr:sp macro="[0]!Registrar_saida" textlink="">
      <xdr:nvSpPr>
        <xdr:cNvPr id="2" name="Retângulo 1">
          <a:extLst>
            <a:ext uri="{FF2B5EF4-FFF2-40B4-BE49-F238E27FC236}">
              <a16:creationId xmlns:a16="http://schemas.microsoft.com/office/drawing/2014/main" id="{205AF9B6-F6CD-4936-B02E-FC4FD1ED0277}"/>
            </a:ext>
          </a:extLst>
        </xdr:cNvPr>
        <xdr:cNvSpPr/>
      </xdr:nvSpPr>
      <xdr:spPr>
        <a:xfrm>
          <a:off x="5021833" y="2722392"/>
          <a:ext cx="1300283" cy="573985"/>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pt-BR" sz="1400"/>
            <a:t>CADASTRAR</a:t>
          </a:r>
          <a:r>
            <a:rPr lang="pt-BR" sz="1400" baseline="0"/>
            <a:t> SAÍDA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241300</xdr:colOff>
      <xdr:row>8</xdr:row>
      <xdr:rowOff>101600</xdr:rowOff>
    </xdr:from>
    <xdr:to>
      <xdr:col>4</xdr:col>
      <xdr:colOff>2025650</xdr:colOff>
      <xdr:row>11</xdr:row>
      <xdr:rowOff>139700</xdr:rowOff>
    </xdr:to>
    <xdr:sp macro="[0]!Registrar_cliente" textlink="">
      <xdr:nvSpPr>
        <xdr:cNvPr id="2" name="Rectangle: Rounded Corners 1">
          <a:extLst>
            <a:ext uri="{FF2B5EF4-FFF2-40B4-BE49-F238E27FC236}">
              <a16:creationId xmlns:a16="http://schemas.microsoft.com/office/drawing/2014/main" id="{8D7DE430-9263-AB50-56AA-CE1368CD315F}"/>
            </a:ext>
          </a:extLst>
        </xdr:cNvPr>
        <xdr:cNvSpPr/>
      </xdr:nvSpPr>
      <xdr:spPr>
        <a:xfrm>
          <a:off x="2070100" y="2305050"/>
          <a:ext cx="2393950" cy="590550"/>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2000">
              <a:solidFill>
                <a:schemeClr val="bg1"/>
              </a:solidFill>
            </a:rPr>
            <a:t>CADASTRAR CLIENTE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38100</xdr:colOff>
      <xdr:row>7</xdr:row>
      <xdr:rowOff>31750</xdr:rowOff>
    </xdr:from>
    <xdr:to>
      <xdr:col>4</xdr:col>
      <xdr:colOff>876300</xdr:colOff>
      <xdr:row>10</xdr:row>
      <xdr:rowOff>57150</xdr:rowOff>
    </xdr:to>
    <xdr:sp macro="[0]!Registrar_produto" textlink="">
      <xdr:nvSpPr>
        <xdr:cNvPr id="2" name="Rectangle: Rounded Corners 1">
          <a:extLst>
            <a:ext uri="{FF2B5EF4-FFF2-40B4-BE49-F238E27FC236}">
              <a16:creationId xmlns:a16="http://schemas.microsoft.com/office/drawing/2014/main" id="{6B6C8E75-9615-DB32-7610-384031C11A7F}"/>
            </a:ext>
          </a:extLst>
        </xdr:cNvPr>
        <xdr:cNvSpPr/>
      </xdr:nvSpPr>
      <xdr:spPr>
        <a:xfrm>
          <a:off x="1460500" y="1638300"/>
          <a:ext cx="1524000" cy="596900"/>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CADAS</a:t>
          </a:r>
          <a:r>
            <a:rPr lang="en-US" sz="1400" b="1" baseline="0"/>
            <a:t>TRAR NOVO PRODUTO</a:t>
          </a:r>
          <a:endParaRPr lang="en-US" sz="1400" b="1"/>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120650</xdr:colOff>
      <xdr:row>4</xdr:row>
      <xdr:rowOff>127000</xdr:rowOff>
    </xdr:from>
    <xdr:to>
      <xdr:col>8</xdr:col>
      <xdr:colOff>603250</xdr:colOff>
      <xdr:row>7</xdr:row>
      <xdr:rowOff>38100</xdr:rowOff>
    </xdr:to>
    <xdr:pic>
      <xdr:nvPicPr>
        <xdr:cNvPr id="3" name="Graphic 2" descr="Disk with solid fill">
          <a:extLst>
            <a:ext uri="{FF2B5EF4-FFF2-40B4-BE49-F238E27FC236}">
              <a16:creationId xmlns:a16="http://schemas.microsoft.com/office/drawing/2014/main" id="{A8880D1B-7248-7EE8-4EF0-BA8DCDF6A6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438900" y="1149350"/>
          <a:ext cx="482600" cy="4826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2</xdr:colOff>
      <xdr:row>1</xdr:row>
      <xdr:rowOff>0</xdr:rowOff>
    </xdr:from>
    <xdr:to>
      <xdr:col>2</xdr:col>
      <xdr:colOff>1</xdr:colOff>
      <xdr:row>2</xdr:row>
      <xdr:rowOff>0</xdr:rowOff>
    </xdr:to>
    <mc:AlternateContent xmlns:mc="http://schemas.openxmlformats.org/markup-compatibility/2006" xmlns:sle15="http://schemas.microsoft.com/office/drawing/2012/slicer">
      <mc:Choice Requires="sle15">
        <xdr:graphicFrame macro="">
          <xdr:nvGraphicFramePr>
            <xdr:cNvPr id="2" name="Data">
              <a:extLst>
                <a:ext uri="{FF2B5EF4-FFF2-40B4-BE49-F238E27FC236}">
                  <a16:creationId xmlns:a16="http://schemas.microsoft.com/office/drawing/2014/main" id="{8239559E-A331-E3C4-D505-8C45D345A63D}"/>
                </a:ext>
              </a:extLst>
            </xdr:cNvPr>
            <xdr:cNvGraphicFramePr/>
          </xdr:nvGraphicFramePr>
          <xdr:xfrm>
            <a:off x="0" y="0"/>
            <a:ext cx="0" cy="0"/>
          </xdr:xfrm>
          <a:graphic>
            <a:graphicData uri="http://schemas.microsoft.com/office/drawing/2010/slicer">
              <sle:slicer xmlns:sle="http://schemas.microsoft.com/office/drawing/2010/slicer" name="Data"/>
            </a:graphicData>
          </a:graphic>
        </xdr:graphicFrame>
      </mc:Choice>
      <mc:Fallback xmlns="">
        <xdr:sp macro="" textlink="">
          <xdr:nvSpPr>
            <xdr:cNvPr id="0" name=""/>
            <xdr:cNvSpPr>
              <a:spLocks noTextEdit="1"/>
            </xdr:cNvSpPr>
          </xdr:nvSpPr>
          <xdr:spPr>
            <a:xfrm>
              <a:off x="606138" y="1212273"/>
              <a:ext cx="1402772" cy="987136"/>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xdr:from>
      <xdr:col>2</xdr:col>
      <xdr:colOff>1</xdr:colOff>
      <xdr:row>1</xdr:row>
      <xdr:rowOff>0</xdr:rowOff>
    </xdr:from>
    <xdr:to>
      <xdr:col>3</xdr:col>
      <xdr:colOff>460561</xdr:colOff>
      <xdr:row>2</xdr:row>
      <xdr:rowOff>0</xdr:rowOff>
    </xdr:to>
    <mc:AlternateContent xmlns:mc="http://schemas.openxmlformats.org/markup-compatibility/2006" xmlns:sle15="http://schemas.microsoft.com/office/drawing/2012/slicer">
      <mc:Choice Requires="sle15">
        <xdr:graphicFrame macro="">
          <xdr:nvGraphicFramePr>
            <xdr:cNvPr id="3" name="Vendedor">
              <a:extLst>
                <a:ext uri="{FF2B5EF4-FFF2-40B4-BE49-F238E27FC236}">
                  <a16:creationId xmlns:a16="http://schemas.microsoft.com/office/drawing/2014/main" id="{F6305A03-E804-B2B4-26C3-E7B887349394}"/>
                </a:ext>
              </a:extLst>
            </xdr:cNvPr>
            <xdr:cNvGraphicFramePr/>
          </xdr:nvGraphicFramePr>
          <xdr:xfrm>
            <a:off x="0" y="0"/>
            <a:ext cx="0" cy="0"/>
          </xdr:xfrm>
          <a:graphic>
            <a:graphicData uri="http://schemas.microsoft.com/office/drawing/2010/slicer">
              <sle:slicer xmlns:sle="http://schemas.microsoft.com/office/drawing/2010/slicer" name="Vendedor"/>
            </a:graphicData>
          </a:graphic>
        </xdr:graphicFrame>
      </mc:Choice>
      <mc:Fallback xmlns="">
        <xdr:sp macro="" textlink="">
          <xdr:nvSpPr>
            <xdr:cNvPr id="0" name=""/>
            <xdr:cNvSpPr>
              <a:spLocks noTextEdit="1"/>
            </xdr:cNvSpPr>
          </xdr:nvSpPr>
          <xdr:spPr>
            <a:xfrm>
              <a:off x="2008910" y="1212273"/>
              <a:ext cx="1846015" cy="987136"/>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xdr:from>
      <xdr:col>3</xdr:col>
      <xdr:colOff>460561</xdr:colOff>
      <xdr:row>1</xdr:row>
      <xdr:rowOff>0</xdr:rowOff>
    </xdr:from>
    <xdr:to>
      <xdr:col>6</xdr:col>
      <xdr:colOff>451596</xdr:colOff>
      <xdr:row>2</xdr:row>
      <xdr:rowOff>0</xdr:rowOff>
    </xdr:to>
    <mc:AlternateContent xmlns:mc="http://schemas.openxmlformats.org/markup-compatibility/2006" xmlns:sle15="http://schemas.microsoft.com/office/drawing/2012/slicer">
      <mc:Choice Requires="sle15">
        <xdr:graphicFrame macro="">
          <xdr:nvGraphicFramePr>
            <xdr:cNvPr id="4" name="Cliente">
              <a:extLst>
                <a:ext uri="{FF2B5EF4-FFF2-40B4-BE49-F238E27FC236}">
                  <a16:creationId xmlns:a16="http://schemas.microsoft.com/office/drawing/2014/main" id="{7D2E0B9C-B52D-02BC-4BDA-703CF68D03B1}"/>
                </a:ext>
              </a:extLst>
            </xdr:cNvPr>
            <xdr:cNvGraphicFramePr/>
          </xdr:nvGraphicFramePr>
          <xdr:xfrm>
            <a:off x="0" y="0"/>
            <a:ext cx="0" cy="0"/>
          </xdr:xfrm>
          <a:graphic>
            <a:graphicData uri="http://schemas.microsoft.com/office/drawing/2010/slicer">
              <sle:slicer xmlns:sle="http://schemas.microsoft.com/office/drawing/2010/slicer" name="Cliente"/>
            </a:graphicData>
          </a:graphic>
        </xdr:graphicFrame>
      </mc:Choice>
      <mc:Fallback xmlns="">
        <xdr:sp macro="" textlink="">
          <xdr:nvSpPr>
            <xdr:cNvPr id="0" name=""/>
            <xdr:cNvSpPr>
              <a:spLocks noTextEdit="1"/>
            </xdr:cNvSpPr>
          </xdr:nvSpPr>
          <xdr:spPr>
            <a:xfrm>
              <a:off x="3854925" y="1212273"/>
              <a:ext cx="3558580" cy="987136"/>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xdr:from>
      <xdr:col>6</xdr:col>
      <xdr:colOff>451596</xdr:colOff>
      <xdr:row>1</xdr:row>
      <xdr:rowOff>0</xdr:rowOff>
    </xdr:from>
    <xdr:to>
      <xdr:col>8</xdr:col>
      <xdr:colOff>224116</xdr:colOff>
      <xdr:row>2</xdr:row>
      <xdr:rowOff>0</xdr:rowOff>
    </xdr:to>
    <mc:AlternateContent xmlns:mc="http://schemas.openxmlformats.org/markup-compatibility/2006" xmlns:sle15="http://schemas.microsoft.com/office/drawing/2012/slicer">
      <mc:Choice Requires="sle15">
        <xdr:graphicFrame macro="">
          <xdr:nvGraphicFramePr>
            <xdr:cNvPr id="5" name="Tipo">
              <a:extLst>
                <a:ext uri="{FF2B5EF4-FFF2-40B4-BE49-F238E27FC236}">
                  <a16:creationId xmlns:a16="http://schemas.microsoft.com/office/drawing/2014/main" id="{62A872B9-1210-51F1-0176-1CA1170A0D06}"/>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7413505" y="1212273"/>
              <a:ext cx="2041202" cy="987136"/>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xdr:from>
      <xdr:col>8</xdr:col>
      <xdr:colOff>224116</xdr:colOff>
      <xdr:row>1</xdr:row>
      <xdr:rowOff>0</xdr:rowOff>
    </xdr:from>
    <xdr:to>
      <xdr:col>10</xdr:col>
      <xdr:colOff>53786</xdr:colOff>
      <xdr:row>2</xdr:row>
      <xdr:rowOff>0</xdr:rowOff>
    </xdr:to>
    <mc:AlternateContent xmlns:mc="http://schemas.openxmlformats.org/markup-compatibility/2006" xmlns:sle15="http://schemas.microsoft.com/office/drawing/2012/slicer">
      <mc:Choice Requires="sle15">
        <xdr:graphicFrame macro="">
          <xdr:nvGraphicFramePr>
            <xdr:cNvPr id="6" name="F/ de pagamento">
              <a:extLst>
                <a:ext uri="{FF2B5EF4-FFF2-40B4-BE49-F238E27FC236}">
                  <a16:creationId xmlns:a16="http://schemas.microsoft.com/office/drawing/2014/main" id="{A16008D3-8D92-0256-D053-A2706651A633}"/>
                </a:ext>
              </a:extLst>
            </xdr:cNvPr>
            <xdr:cNvGraphicFramePr/>
          </xdr:nvGraphicFramePr>
          <xdr:xfrm>
            <a:off x="0" y="0"/>
            <a:ext cx="0" cy="0"/>
          </xdr:xfrm>
          <a:graphic>
            <a:graphicData uri="http://schemas.microsoft.com/office/drawing/2010/slicer">
              <sle:slicer xmlns:sle="http://schemas.microsoft.com/office/drawing/2010/slicer" name="F/ de pagamento"/>
            </a:graphicData>
          </a:graphic>
        </xdr:graphicFrame>
      </mc:Choice>
      <mc:Fallback xmlns="">
        <xdr:sp macro="" textlink="">
          <xdr:nvSpPr>
            <xdr:cNvPr id="0" name=""/>
            <xdr:cNvSpPr>
              <a:spLocks noTextEdit="1"/>
            </xdr:cNvSpPr>
          </xdr:nvSpPr>
          <xdr:spPr>
            <a:xfrm>
              <a:off x="9454707" y="1212273"/>
              <a:ext cx="4107261" cy="987136"/>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xdr:from>
      <xdr:col>1</xdr:col>
      <xdr:colOff>0</xdr:colOff>
      <xdr:row>0</xdr:row>
      <xdr:rowOff>236444</xdr:rowOff>
    </xdr:from>
    <xdr:to>
      <xdr:col>2</xdr:col>
      <xdr:colOff>683559</xdr:colOff>
      <xdr:row>1</xdr:row>
      <xdr:rowOff>3362</xdr:rowOff>
    </xdr:to>
    <xdr:grpSp>
      <xdr:nvGrpSpPr>
        <xdr:cNvPr id="14" name="Agrupar 13">
          <a:extLst>
            <a:ext uri="{FF2B5EF4-FFF2-40B4-BE49-F238E27FC236}">
              <a16:creationId xmlns:a16="http://schemas.microsoft.com/office/drawing/2014/main" id="{06E595D7-D396-FABA-2C77-D65BEA702853}"/>
            </a:ext>
          </a:extLst>
        </xdr:cNvPr>
        <xdr:cNvGrpSpPr/>
      </xdr:nvGrpSpPr>
      <xdr:grpSpPr>
        <a:xfrm>
          <a:off x="607391" y="236444"/>
          <a:ext cx="2165226" cy="981701"/>
          <a:chOff x="5602940" y="179294"/>
          <a:chExt cx="2095500" cy="986118"/>
        </a:xfrm>
      </xdr:grpSpPr>
      <xdr:sp macro="" textlink="$B$1">
        <xdr:nvSpPr>
          <xdr:cNvPr id="11" name="Retângulo 10">
            <a:extLst>
              <a:ext uri="{FF2B5EF4-FFF2-40B4-BE49-F238E27FC236}">
                <a16:creationId xmlns:a16="http://schemas.microsoft.com/office/drawing/2014/main" id="{C4C83724-6A37-6DB5-DDA9-B4DC76C9EA6D}"/>
              </a:ext>
            </a:extLst>
          </xdr:cNvPr>
          <xdr:cNvSpPr/>
        </xdr:nvSpPr>
        <xdr:spPr>
          <a:xfrm>
            <a:off x="5602940" y="179294"/>
            <a:ext cx="2095500" cy="986118"/>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7BD3E62-2651-4AD5-A8B0-157D53FC222A}" type="TxLink">
              <a:rPr lang="en-US" sz="3200" b="1" i="0" u="none" strike="noStrike">
                <a:solidFill>
                  <a:sysClr val="windowText" lastClr="000000"/>
                </a:solidFill>
                <a:latin typeface="Calibri"/>
                <a:cs typeface="Calibri"/>
              </a:rPr>
              <a:pPr algn="ctr"/>
              <a:t> R$ -   </a:t>
            </a:fld>
            <a:endParaRPr lang="pt-BR" sz="1600" b="1">
              <a:solidFill>
                <a:sysClr val="windowText" lastClr="000000"/>
              </a:solidFill>
            </a:endParaRPr>
          </a:p>
        </xdr:txBody>
      </xdr:sp>
      <xdr:sp macro="" textlink="">
        <xdr:nvSpPr>
          <xdr:cNvPr id="12" name="CaixaDeTexto 11">
            <a:extLst>
              <a:ext uri="{FF2B5EF4-FFF2-40B4-BE49-F238E27FC236}">
                <a16:creationId xmlns:a16="http://schemas.microsoft.com/office/drawing/2014/main" id="{984B5EB3-5F7A-7B4F-0103-1F84A86A0D51}"/>
              </a:ext>
            </a:extLst>
          </xdr:cNvPr>
          <xdr:cNvSpPr txBox="1"/>
        </xdr:nvSpPr>
        <xdr:spPr>
          <a:xfrm>
            <a:off x="5614147" y="179294"/>
            <a:ext cx="2084293" cy="45944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800" b="1"/>
              <a:t>ENTRADAS</a:t>
            </a:r>
          </a:p>
        </xdr:txBody>
      </xdr:sp>
    </xdr:grpSp>
    <xdr:clientData/>
  </xdr:twoCellAnchor>
  <xdr:twoCellAnchor>
    <xdr:from>
      <xdr:col>2</xdr:col>
      <xdr:colOff>675760</xdr:colOff>
      <xdr:row>0</xdr:row>
      <xdr:rowOff>236444</xdr:rowOff>
    </xdr:from>
    <xdr:to>
      <xdr:col>4</xdr:col>
      <xdr:colOff>742995</xdr:colOff>
      <xdr:row>1</xdr:row>
      <xdr:rowOff>3362</xdr:rowOff>
    </xdr:to>
    <xdr:grpSp>
      <xdr:nvGrpSpPr>
        <xdr:cNvPr id="15" name="Agrupar 14">
          <a:extLst>
            <a:ext uri="{FF2B5EF4-FFF2-40B4-BE49-F238E27FC236}">
              <a16:creationId xmlns:a16="http://schemas.microsoft.com/office/drawing/2014/main" id="{A6CEED45-FDDB-4291-9B59-9ABD2B9AB900}"/>
            </a:ext>
          </a:extLst>
        </xdr:cNvPr>
        <xdr:cNvGrpSpPr/>
      </xdr:nvGrpSpPr>
      <xdr:grpSpPr>
        <a:xfrm>
          <a:off x="2764818" y="236444"/>
          <a:ext cx="3141003" cy="981701"/>
          <a:chOff x="5602940" y="179294"/>
          <a:chExt cx="2095500" cy="986118"/>
        </a:xfrm>
        <a:solidFill>
          <a:srgbClr val="FF0000"/>
        </a:solidFill>
      </xdr:grpSpPr>
      <xdr:sp macro="" textlink="$C$1">
        <xdr:nvSpPr>
          <xdr:cNvPr id="16" name="Retângulo 15">
            <a:extLst>
              <a:ext uri="{FF2B5EF4-FFF2-40B4-BE49-F238E27FC236}">
                <a16:creationId xmlns:a16="http://schemas.microsoft.com/office/drawing/2014/main" id="{CFF82CCF-194E-89F2-6F3A-D223E6194869}"/>
              </a:ext>
            </a:extLst>
          </xdr:cNvPr>
          <xdr:cNvSpPr/>
        </xdr:nvSpPr>
        <xdr:spPr>
          <a:xfrm>
            <a:off x="5602940" y="179294"/>
            <a:ext cx="2095500" cy="986118"/>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D5992C2-7528-4D70-A627-ED3527D28544}" type="TxLink">
              <a:rPr lang="en-US" sz="3200" b="1" i="0" u="none" strike="noStrike">
                <a:solidFill>
                  <a:srgbClr val="000000"/>
                </a:solidFill>
                <a:latin typeface="Calibri"/>
                <a:cs typeface="Calibri"/>
              </a:rPr>
              <a:pPr algn="ctr"/>
              <a:t> R$ 5,00 </a:t>
            </a:fld>
            <a:endParaRPr lang="pt-BR" sz="2400" b="1">
              <a:solidFill>
                <a:sysClr val="windowText" lastClr="000000"/>
              </a:solidFill>
            </a:endParaRPr>
          </a:p>
        </xdr:txBody>
      </xdr:sp>
      <xdr:sp macro="" textlink="">
        <xdr:nvSpPr>
          <xdr:cNvPr id="17" name="CaixaDeTexto 16">
            <a:extLst>
              <a:ext uri="{FF2B5EF4-FFF2-40B4-BE49-F238E27FC236}">
                <a16:creationId xmlns:a16="http://schemas.microsoft.com/office/drawing/2014/main" id="{A01962E0-5363-88CC-9E7C-E93A436D41ED}"/>
              </a:ext>
            </a:extLst>
          </xdr:cNvPr>
          <xdr:cNvSpPr txBox="1"/>
        </xdr:nvSpPr>
        <xdr:spPr>
          <a:xfrm>
            <a:off x="5614147" y="179294"/>
            <a:ext cx="2084293" cy="459441"/>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800" b="1"/>
              <a:t>SAIDAS</a:t>
            </a:r>
          </a:p>
        </xdr:txBody>
      </xdr:sp>
    </xdr:grpSp>
    <xdr:clientData/>
  </xdr:twoCellAnchor>
  <xdr:twoCellAnchor>
    <xdr:from>
      <xdr:col>4</xdr:col>
      <xdr:colOff>751095</xdr:colOff>
      <xdr:row>0</xdr:row>
      <xdr:rowOff>236444</xdr:rowOff>
    </xdr:from>
    <xdr:to>
      <xdr:col>7</xdr:col>
      <xdr:colOff>56330</xdr:colOff>
      <xdr:row>1</xdr:row>
      <xdr:rowOff>3362</xdr:rowOff>
    </xdr:to>
    <xdr:grpSp>
      <xdr:nvGrpSpPr>
        <xdr:cNvPr id="18" name="Agrupar 17">
          <a:extLst>
            <a:ext uri="{FF2B5EF4-FFF2-40B4-BE49-F238E27FC236}">
              <a16:creationId xmlns:a16="http://schemas.microsoft.com/office/drawing/2014/main" id="{7A9083BA-5CDE-4B89-BE32-9EBB116F301E}"/>
            </a:ext>
          </a:extLst>
        </xdr:cNvPr>
        <xdr:cNvGrpSpPr/>
      </xdr:nvGrpSpPr>
      <xdr:grpSpPr>
        <a:xfrm>
          <a:off x="5913921" y="236444"/>
          <a:ext cx="2443423" cy="981701"/>
          <a:chOff x="5602940" y="179294"/>
          <a:chExt cx="2095500" cy="986118"/>
        </a:xfrm>
        <a:solidFill>
          <a:srgbClr val="FFC000"/>
        </a:solidFill>
      </xdr:grpSpPr>
      <xdr:sp macro="" textlink="$E$1">
        <xdr:nvSpPr>
          <xdr:cNvPr id="19" name="Retângulo 18">
            <a:extLst>
              <a:ext uri="{FF2B5EF4-FFF2-40B4-BE49-F238E27FC236}">
                <a16:creationId xmlns:a16="http://schemas.microsoft.com/office/drawing/2014/main" id="{17441AE9-E66F-D99A-AC1D-B6D994DD3318}"/>
              </a:ext>
            </a:extLst>
          </xdr:cNvPr>
          <xdr:cNvSpPr/>
        </xdr:nvSpPr>
        <xdr:spPr>
          <a:xfrm>
            <a:off x="5602940" y="179294"/>
            <a:ext cx="2095500" cy="986118"/>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359A57B-1A3F-4516-B025-C2B755814642}" type="TxLink">
              <a:rPr lang="en-US" sz="3200" b="0" i="0" u="none" strike="noStrike">
                <a:solidFill>
                  <a:srgbClr val="000000"/>
                </a:solidFill>
                <a:latin typeface="Calibri"/>
                <a:cs typeface="Calibri"/>
              </a:rPr>
              <a:pPr algn="ctr"/>
              <a:t> R$ 55,00 </a:t>
            </a:fld>
            <a:endParaRPr lang="pt-BR" sz="3200" b="1">
              <a:solidFill>
                <a:sysClr val="windowText" lastClr="000000"/>
              </a:solidFill>
            </a:endParaRPr>
          </a:p>
        </xdr:txBody>
      </xdr:sp>
      <xdr:sp macro="" textlink="">
        <xdr:nvSpPr>
          <xdr:cNvPr id="20" name="CaixaDeTexto 19">
            <a:extLst>
              <a:ext uri="{FF2B5EF4-FFF2-40B4-BE49-F238E27FC236}">
                <a16:creationId xmlns:a16="http://schemas.microsoft.com/office/drawing/2014/main" id="{AC46992E-B8AF-A462-34AB-AF3FE93B166B}"/>
              </a:ext>
            </a:extLst>
          </xdr:cNvPr>
          <xdr:cNvSpPr txBox="1"/>
        </xdr:nvSpPr>
        <xdr:spPr>
          <a:xfrm>
            <a:off x="5614147" y="179294"/>
            <a:ext cx="2084293" cy="459441"/>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800" b="1"/>
              <a:t>SALDO</a:t>
            </a:r>
          </a:p>
        </xdr:txBody>
      </xdr:sp>
    </xdr:grpSp>
    <xdr:clientData/>
  </xdr:twoCellAnchor>
  <xdr:twoCellAnchor editAs="absolute">
    <xdr:from>
      <xdr:col>10</xdr:col>
      <xdr:colOff>0</xdr:colOff>
      <xdr:row>1</xdr:row>
      <xdr:rowOff>1</xdr:rowOff>
    </xdr:from>
    <xdr:to>
      <xdr:col>10</xdr:col>
      <xdr:colOff>1828800</xdr:colOff>
      <xdr:row>2</xdr:row>
      <xdr:rowOff>1</xdr:rowOff>
    </xdr:to>
    <mc:AlternateContent xmlns:mc="http://schemas.openxmlformats.org/markup-compatibility/2006" xmlns:sle15="http://schemas.microsoft.com/office/drawing/2012/slicer">
      <mc:Choice Requires="sle15">
        <xdr:graphicFrame macro="">
          <xdr:nvGraphicFramePr>
            <xdr:cNvPr id="21" name="Descrição">
              <a:extLst>
                <a:ext uri="{FF2B5EF4-FFF2-40B4-BE49-F238E27FC236}">
                  <a16:creationId xmlns:a16="http://schemas.microsoft.com/office/drawing/2014/main" id="{0D521903-F0DD-D8BE-98F0-8E0B4B545AA8}"/>
                </a:ext>
              </a:extLst>
            </xdr:cNvPr>
            <xdr:cNvGraphicFramePr/>
          </xdr:nvGraphicFramePr>
          <xdr:xfrm>
            <a:off x="0" y="0"/>
            <a:ext cx="0" cy="0"/>
          </xdr:xfrm>
          <a:graphic>
            <a:graphicData uri="http://schemas.microsoft.com/office/drawing/2010/slicer">
              <sle:slicer xmlns:sle="http://schemas.microsoft.com/office/drawing/2010/slicer" name="Descrição"/>
            </a:graphicData>
          </a:graphic>
        </xdr:graphicFrame>
      </mc:Choice>
      <mc:Fallback xmlns="">
        <xdr:sp macro="" textlink="">
          <xdr:nvSpPr>
            <xdr:cNvPr id="0" name=""/>
            <xdr:cNvSpPr>
              <a:spLocks noTextEdit="1"/>
            </xdr:cNvSpPr>
          </xdr:nvSpPr>
          <xdr:spPr>
            <a:xfrm>
              <a:off x="13508182" y="1212274"/>
              <a:ext cx="1828800" cy="987136"/>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xdr:from>
      <xdr:col>7</xdr:col>
      <xdr:colOff>54904</xdr:colOff>
      <xdr:row>0</xdr:row>
      <xdr:rowOff>250299</xdr:rowOff>
    </xdr:from>
    <xdr:to>
      <xdr:col>8</xdr:col>
      <xdr:colOff>1109276</xdr:colOff>
      <xdr:row>1</xdr:row>
      <xdr:rowOff>17217</xdr:rowOff>
    </xdr:to>
    <xdr:grpSp>
      <xdr:nvGrpSpPr>
        <xdr:cNvPr id="7" name="Agrupar 6">
          <a:extLst>
            <a:ext uri="{FF2B5EF4-FFF2-40B4-BE49-F238E27FC236}">
              <a16:creationId xmlns:a16="http://schemas.microsoft.com/office/drawing/2014/main" id="{2F275FF7-96FF-4945-86A8-DFA7FEA78FBE}"/>
            </a:ext>
          </a:extLst>
        </xdr:cNvPr>
        <xdr:cNvGrpSpPr/>
      </xdr:nvGrpSpPr>
      <xdr:grpSpPr>
        <a:xfrm>
          <a:off x="8355918" y="250299"/>
          <a:ext cx="2370387" cy="981701"/>
          <a:chOff x="5602940" y="179294"/>
          <a:chExt cx="2095500" cy="986118"/>
        </a:xfrm>
        <a:solidFill>
          <a:srgbClr val="0070C0"/>
        </a:solidFill>
      </xdr:grpSpPr>
      <xdr:sp macro="" textlink="$H$1">
        <xdr:nvSpPr>
          <xdr:cNvPr id="8" name="Retângulo 7">
            <a:extLst>
              <a:ext uri="{FF2B5EF4-FFF2-40B4-BE49-F238E27FC236}">
                <a16:creationId xmlns:a16="http://schemas.microsoft.com/office/drawing/2014/main" id="{3CE1A026-C367-F939-7602-EFBD00F8F63D}"/>
              </a:ext>
            </a:extLst>
          </xdr:cNvPr>
          <xdr:cNvSpPr/>
        </xdr:nvSpPr>
        <xdr:spPr>
          <a:xfrm>
            <a:off x="5602940" y="179294"/>
            <a:ext cx="2095500" cy="986118"/>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95F6F8F-B5E8-4805-A513-BE35CD41A6CE}" type="TxLink">
              <a:rPr lang="en-US" sz="3200" b="0" i="0" u="none" strike="noStrike">
                <a:solidFill>
                  <a:srgbClr val="000000"/>
                </a:solidFill>
                <a:latin typeface="Calibri"/>
                <a:cs typeface="Calibri"/>
              </a:rPr>
              <a:pPr algn="ctr"/>
              <a:t> R$ 60,00 </a:t>
            </a:fld>
            <a:endParaRPr lang="pt-BR" sz="3200" b="1">
              <a:solidFill>
                <a:sysClr val="windowText" lastClr="000000"/>
              </a:solidFill>
            </a:endParaRPr>
          </a:p>
        </xdr:txBody>
      </xdr:sp>
      <xdr:sp macro="" textlink="">
        <xdr:nvSpPr>
          <xdr:cNvPr id="9" name="CaixaDeTexto 8">
            <a:extLst>
              <a:ext uri="{FF2B5EF4-FFF2-40B4-BE49-F238E27FC236}">
                <a16:creationId xmlns:a16="http://schemas.microsoft.com/office/drawing/2014/main" id="{FD50F5D7-E44C-85A1-53B8-F8AED033B45B}"/>
              </a:ext>
            </a:extLst>
          </xdr:cNvPr>
          <xdr:cNvSpPr txBox="1"/>
        </xdr:nvSpPr>
        <xdr:spPr>
          <a:xfrm>
            <a:off x="5614147" y="179294"/>
            <a:ext cx="2084293" cy="459441"/>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400" b="1"/>
              <a:t>SALDO INICIAL</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1104900</xdr:colOff>
      <xdr:row>1</xdr:row>
      <xdr:rowOff>730250</xdr:rowOff>
    </xdr:to>
    <mc:AlternateContent xmlns:mc="http://schemas.openxmlformats.org/markup-compatibility/2006" xmlns:sle15="http://schemas.microsoft.com/office/drawing/2012/slicer">
      <mc:Choice Requires="sle15">
        <xdr:graphicFrame macro="">
          <xdr:nvGraphicFramePr>
            <xdr:cNvPr id="2" name="Produto">
              <a:extLst>
                <a:ext uri="{FF2B5EF4-FFF2-40B4-BE49-F238E27FC236}">
                  <a16:creationId xmlns:a16="http://schemas.microsoft.com/office/drawing/2014/main" id="{0270472D-E259-3B6F-4ECC-E2267C13FD8F}"/>
                </a:ext>
              </a:extLst>
            </xdr:cNvPr>
            <xdr:cNvGraphicFramePr/>
          </xdr:nvGraphicFramePr>
          <xdr:xfrm>
            <a:off x="0" y="0"/>
            <a:ext cx="0" cy="0"/>
          </xdr:xfrm>
          <a:graphic>
            <a:graphicData uri="http://schemas.microsoft.com/office/drawing/2010/slicer">
              <sle:slicer xmlns:sle="http://schemas.microsoft.com/office/drawing/2010/slicer" name="Produto"/>
            </a:graphicData>
          </a:graphic>
        </xdr:graphicFrame>
      </mc:Choice>
      <mc:Fallback xmlns="">
        <xdr:sp macro="" textlink="">
          <xdr:nvSpPr>
            <xdr:cNvPr id="0" name=""/>
            <xdr:cNvSpPr>
              <a:spLocks noTextEdit="1"/>
            </xdr:cNvSpPr>
          </xdr:nvSpPr>
          <xdr:spPr>
            <a:xfrm>
              <a:off x="609600" y="0"/>
              <a:ext cx="1828800" cy="81280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Data" xr10:uid="{E42F306A-6A43-400A-B254-87B5A7BC871B}" sourceName="Data">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Vendedor" xr10:uid="{307E3EFF-244D-45C3-9DFE-C34D88820A80}" sourceName="Vendedor">
  <extLst>
    <x:ext xmlns:x15="http://schemas.microsoft.com/office/spreadsheetml/2010/11/main" uri="{2F2917AC-EB37-4324-AD4E-5DD8C200BD13}">
      <x15:tableSlicerCache tableId="1" column="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liente" xr10:uid="{670ADC5C-7E30-4AF3-AB99-A064126734D2}" sourceName="Cliente">
  <extLst>
    <x:ext xmlns:x15="http://schemas.microsoft.com/office/spreadsheetml/2010/11/main" uri="{2F2917AC-EB37-4324-AD4E-5DD8C200BD13}">
      <x15:tableSlicerCache tableId="1"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po" xr10:uid="{1E45DE99-3CB9-4453-892D-A1BCA28761D3}" sourceName="Tipo">
  <extLst>
    <x:ext xmlns:x15="http://schemas.microsoft.com/office/spreadsheetml/2010/11/main" uri="{2F2917AC-EB37-4324-AD4E-5DD8C200BD13}">
      <x15:tableSlicerCache tableId="1"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F__de_pagamento" xr10:uid="{ECED0B09-4725-479A-BCAE-84ADF78E02C2}" sourceName="F/ de pagamento">
  <extLst>
    <x:ext xmlns:x15="http://schemas.microsoft.com/office/spreadsheetml/2010/11/main" uri="{2F2917AC-EB37-4324-AD4E-5DD8C200BD13}">
      <x15:tableSlicerCache tableId="1" column="10"/>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Descrição" xr10:uid="{4531065B-BDC1-413D-B314-A5490903B570}" sourceName="Descrição">
  <extLst>
    <x:ext xmlns:x15="http://schemas.microsoft.com/office/spreadsheetml/2010/11/main" uri="{2F2917AC-EB37-4324-AD4E-5DD8C200BD13}">
      <x15:tableSlicerCache tableId="1" column="4"/>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to" xr10:uid="{F3388776-58FB-4356-A5D7-C4329BEB518B}" sourceName="Produto">
  <extLst>
    <x:ext xmlns:x15="http://schemas.microsoft.com/office/spreadsheetml/2010/11/main" uri="{2F2917AC-EB37-4324-AD4E-5DD8C200BD13}">
      <x15:tableSlicerCache tableId="8"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xr10:uid="{BC4575E5-56B9-4140-B1DA-C282E51A2217}" cache="SegmentaçãodeDados_Data" caption="Data" rowHeight="241300"/>
  <slicer name="Vendedor" xr10:uid="{A362C3C5-9D78-4783-85BF-C04691B0A59D}" cache="SegmentaçãodeDados_Vendedor" caption="Vendedor" rowHeight="241300"/>
  <slicer name="Cliente" xr10:uid="{E8A030BC-E076-4472-BCCE-C49B8527BD6B}" cache="SegmentaçãodeDados_Cliente" caption="Cliente" rowHeight="241300"/>
  <slicer name="Tipo" xr10:uid="{6600C882-162D-49F2-8843-D419999ADAA9}" cache="SegmentaçãodeDados_Tipo" caption="Tipo" rowHeight="241300"/>
  <slicer name="F/ de pagamento" xr10:uid="{B3E29A28-53E4-4537-BDB2-7C4B79306F01}" cache="SegmentaçãodeDados_F__de_pagamento" caption="F/ de pagamento" rowHeight="241300"/>
  <slicer name="Descrição" xr10:uid="{6C764472-063D-4AF7-8E38-5C04ACCDDB6E}" cache="SegmentaçãodeDados_Descrição" caption="Descriçã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to" xr10:uid="{83F92462-3195-43E4-834D-0F4D3E03C464}" cache="Slicer_Produto" caption="Produto"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E6EC3-E4B4-4779-A354-37B03C8B8351}" name="Fluxo_caixa" displayName="Fluxo_caixa" ref="B3:O4" totalsRowShown="0" headerRowDxfId="58" dataDxfId="57">
  <autoFilter ref="B3:O4" xr:uid="{014E6EC3-E4B4-4779-A354-37B03C8B8351}"/>
  <tableColumns count="14">
    <tableColumn id="1" xr3:uid="{DDA991D1-2937-4862-BE66-F5062222DE5C}" name="Data" dataDxfId="56"/>
    <tableColumn id="7" xr3:uid="{BC2FB4FA-3100-4C3D-9BB7-4C77BC24576B}" name="Vendedor" dataDxfId="55"/>
    <tableColumn id="8" xr3:uid="{5E062A40-5D6A-4228-9578-8B81C3307EC0}" name="Cliente" dataDxfId="54"/>
    <tableColumn id="2" xr3:uid="{CC416317-EDA0-4A5D-946C-D16EA75E0EEE}" name="Tipo" dataDxfId="53"/>
    <tableColumn id="9" xr3:uid="{2B836112-1941-4119-882A-3C6EF4A139BD}" name="Qtd" dataDxfId="20"/>
    <tableColumn id="3" xr3:uid="{FC250B21-B454-46D9-AA17-7A08D33E7821}" name="Valor" dataDxfId="18"/>
    <tableColumn id="11" xr3:uid="{7A2F4352-4C27-45C2-859E-EDC32A224F28}" name="Valor pago" dataDxfId="19" dataCellStyle="Currency"/>
    <tableColumn id="10" xr3:uid="{FD4ECF4E-4CC7-423B-9673-654736DBBE72}" name="F/ de pagamento" dataDxfId="52"/>
    <tableColumn id="4" xr3:uid="{2D55C59F-4D74-41CA-8DCF-4A01BD9FE684}" name="Descrição" dataDxfId="51"/>
    <tableColumn id="5" xr3:uid="{5F1E0A23-81D4-4BFC-88E3-BBB23A23D8A0}" name="Observação" dataDxfId="50"/>
    <tableColumn id="13" xr3:uid="{85C9DAC8-BEBA-4926-8E68-0E0400B5DC5A}" name="Comprador" dataDxfId="49"/>
    <tableColumn id="14" xr3:uid="{990EC102-523D-4E7D-A8B6-3D228755F67E}" name="Fornecedor" dataDxfId="48"/>
    <tableColumn id="12" xr3:uid="{9B61827A-FDF5-4BFB-86EA-8E85A54D323F}" name="A pagar" dataDxfId="47">
      <calculatedColumnFormula>SUM(Fluxo_caixa[[#This Row],[Valor]]-Fluxo_caixa[[#This Row],[Valor pago]])</calculatedColumnFormula>
    </tableColumn>
    <tableColumn id="6" xr3:uid="{8D52D7CB-6478-42A7-8E3D-913327F279B9}" name="Subtotal" dataDxfId="46">
      <calculatedColumnFormula>IF(Fluxo_caixa[[#This Row],[Tipo]]="ENTRADA",SUM(Fluxo_caixa[[#Headers],[Subtotal]],+Fluxo_caixa[[#This Row],[Valor]],-(Fluxo_caixa[[#This Row],[Valor]]-Fluxo_caixa[[#This Row],[Valor pago]])),SUM(Fluxo_caixa[[#Headers],[Subtotal]],Fluxo_caixa[[#This Row],[Valor]]))</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236E102-1CA8-427A-B6D9-9D8409D61860}" name="Quantitativo" displayName="Quantitativo" ref="B3:G4" insertRow="1" totalsRowShown="0" dataDxfId="45">
  <autoFilter ref="B3:G4" xr:uid="{9236E102-1CA8-427A-B6D9-9D8409D61860}"/>
  <tableColumns count="6">
    <tableColumn id="1" xr3:uid="{5127D668-A3F7-4623-B87B-872EE6950154}" name="Produto" dataDxfId="44"/>
    <tableColumn id="2" xr3:uid="{39BD29B9-3707-443D-B33F-E7D97711B83A}" name="Email" dataDxfId="43"/>
    <tableColumn id="3" xr3:uid="{1D3D5798-5E71-42ED-A4C6-CF8C4ACC87AD}" name="Senha" dataDxfId="42"/>
    <tableColumn id="8" xr3:uid="{53C61016-5EE0-42FE-A990-E253592A4F9C}" name="Observações" dataDxfId="41"/>
    <tableColumn id="4" xr3:uid="{41B620C9-E3C8-462B-A985-3A7FEC46B89D}" name="Perfil(s)" dataDxfId="40"/>
    <tableColumn id="5" xr3:uid="{D2E373E6-9680-465A-AB91-72716151DFD5}" name="Acesso(s)" dataDxfId="39"/>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3897A2-B959-4433-A5E7-6331D30FFD83}" name="BD_fornecedores" displayName="BD_fornecedores" ref="B2:C9" totalsRowShown="0" headerRowDxfId="38" dataDxfId="37">
  <autoFilter ref="B2:C9" xr:uid="{183897A2-B959-4433-A5E7-6331D30FFD83}"/>
  <tableColumns count="2">
    <tableColumn id="2" xr3:uid="{CCC62EAF-4A4D-44D3-AB00-CA106486C661}" name="Fornecedores" dataDxfId="36"/>
    <tableColumn id="1" xr3:uid="{49EA23E8-B928-49FB-A8A5-1819BFF11215}" name="Contato" dataDxfId="35"/>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E3B4966-5B8A-42D5-B5DC-64548D1CFB9C}" name="BD_funcionários" displayName="BD_funcionários" ref="E2:I5" totalsRowShown="0" headerRowDxfId="34" dataDxfId="33">
  <autoFilter ref="E2:I5" xr:uid="{CE3B4966-5B8A-42D5-B5DC-64548D1CFB9C}"/>
  <tableColumns count="5">
    <tableColumn id="2" xr3:uid="{A6D4E7C3-8CFA-4069-AFED-1A3AFDC594CE}" name="Nome" dataDxfId="32"/>
    <tableColumn id="4" xr3:uid="{2DA0B2D2-3C3D-42C6-A330-42A65ABF6450}" name="Nascimento" dataDxfId="17"/>
    <tableColumn id="1" xr3:uid="{BF20878F-4153-4C97-A1FA-B45394EBA46E}" name="Celular" dataDxfId="31"/>
    <tableColumn id="5" xr3:uid="{FF931343-A21D-45D4-A038-E4858734AFFC}" name="Enderço" dataDxfId="16"/>
    <tableColumn id="3" xr3:uid="{3F239B13-27AE-44E8-BA3D-3713C1F02D0F}" name="Cargo" dataDxfId="30"/>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3E840-D6CE-4EA0-B90A-6B54E349B500}" name="BD_clientes" displayName="BD_clientes" ref="K2:N4" totalsRowShown="0" headerRowDxfId="29" dataDxfId="11">
  <autoFilter ref="K2:N4" xr:uid="{EB43E840-D6CE-4EA0-B90A-6B54E349B500}"/>
  <sortState xmlns:xlrd2="http://schemas.microsoft.com/office/spreadsheetml/2017/richdata2" ref="K3:K4">
    <sortCondition ref="K2:K4"/>
  </sortState>
  <tableColumns count="4">
    <tableColumn id="2" xr3:uid="{1C2D83D9-F450-4F1B-84AE-D20A4C9C14E5}" name="Nome" dataDxfId="15"/>
    <tableColumn id="1" xr3:uid="{0E390B08-BC13-41B3-8D02-854D01C5288B}" name="Idade" dataDxfId="14"/>
    <tableColumn id="3" xr3:uid="{EAADEB38-FCBB-4867-8F15-4DB02DA15A74}" name="Endereço" dataDxfId="13"/>
    <tableColumn id="4" xr3:uid="{EE1C9B5E-3672-4EBA-8C26-3B7386E6477A}" name="Celular" dataDxfId="12"/>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8E110F8-D0B2-4762-883E-1A71CF0B15CB}" name="BD_relação_produtos" displayName="BD_relação_produtos" ref="R2:Y30" totalsRowShown="0" headerRowDxfId="28" dataDxfId="2">
  <autoFilter ref="R2:Y30" xr:uid="{B8E110F8-D0B2-4762-883E-1A71CF0B15CB}"/>
  <sortState xmlns:xlrd2="http://schemas.microsoft.com/office/spreadsheetml/2017/richdata2" ref="R3:Y30">
    <sortCondition ref="S2:S30"/>
  </sortState>
  <tableColumns count="8">
    <tableColumn id="7" xr3:uid="{487F5923-EE9C-4A21-8A5D-CEBF73F96F38}" name="ID" dataDxfId="10">
      <calculatedColumnFormula>BD_relação_produtos[[#This Row],[Produtos]]</calculatedColumnFormula>
    </tableColumn>
    <tableColumn id="1" xr3:uid="{BB06186E-E4A4-4A09-93CC-4BBC3B44219B}" name="Produtos" dataDxfId="9"/>
    <tableColumn id="2" xr3:uid="{BD89D710-E67B-452A-999D-E0AA99D594E7}" name="Tipo venda" dataDxfId="8"/>
    <tableColumn id="6" xr3:uid="{92F60364-E9B8-4E77-9C52-B42A4AFB1037}" name="Tipo de compra" dataDxfId="7"/>
    <tableColumn id="8" xr3:uid="{74B444AC-4499-4208-BE6F-C6ABEBFDF786}" name="Valor de compra conta fechada" dataDxfId="6"/>
    <tableColumn id="3" xr3:uid="{B771A636-4482-42F9-897D-EF3CE9378691}" name="Valor de compra por acesso" dataDxfId="5"/>
    <tableColumn id="4" xr3:uid="{A20F0D8D-8128-49B7-A6CB-7BC809F4D9E0}" name="Valor de venda" dataDxfId="4"/>
    <tableColumn id="5" xr3:uid="{3622AB86-0A81-40C2-B808-7F1B4A84B896}" name="Lucro" dataDxfId="3">
      <calculatedColumnFormula>X3-W3</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8479A2-3BB7-4C06-9A7E-73BA5532DB54}" name="BD_compradores" displayName="BD_compradores" ref="P2:P5" totalsRowShown="0" headerRowDxfId="27" dataDxfId="26">
  <autoFilter ref="P2:P5" xr:uid="{EA8479A2-3BB7-4C06-9A7E-73BA5532DB54}"/>
  <tableColumns count="1">
    <tableColumn id="1" xr3:uid="{7DB1177C-AEAE-4A4A-9E76-2235C59C1192}" name="Compradores" dataDxfId="25"/>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279815-54C3-4D21-9697-73FDA232E576}" name="Propriedades_produtos" displayName="Propriedades_produtos" ref="AA2:AD30" totalsRowShown="0">
  <autoFilter ref="AA2:AD30" xr:uid="{15279815-54C3-4D21-9697-73FDA232E576}"/>
  <tableColumns count="4">
    <tableColumn id="1" xr3:uid="{8B8EC68F-4AB5-4F6D-AF9F-06D489DB1916}" name="Produtos" dataDxfId="24"/>
    <tableColumn id="2" xr3:uid="{11FB5DE4-64F9-4A37-B91F-7878CAF83DE9}" name="Contas" dataDxfId="23"/>
    <tableColumn id="3" xr3:uid="{11A07988-2CAA-4E1E-9184-2E02453CACAC}" name="Perfil(s)" dataDxfId="22"/>
    <tableColumn id="4" xr3:uid="{BD0E2E1D-A1B7-4519-96DE-F6FD62991A2E}" name="Acesso(s)" dataDxfId="21"/>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618E2-EC86-4147-A3D5-F2EA8B5A1FCE}">
  <sheetPr codeName="Planilha1">
    <tabColor theme="4"/>
  </sheetPr>
  <dimension ref="C1:X17"/>
  <sheetViews>
    <sheetView showGridLines="0" tabSelected="1" zoomScale="85" zoomScaleNormal="85" workbookViewId="0">
      <selection activeCell="K11" sqref="K11"/>
    </sheetView>
  </sheetViews>
  <sheetFormatPr defaultRowHeight="14.5" x14ac:dyDescent="0.35"/>
  <cols>
    <col min="3" max="3" width="2" customWidth="1"/>
    <col min="4" max="4" width="12.7265625" bestFit="1" customWidth="1"/>
    <col min="5" max="5" width="18.26953125" bestFit="1" customWidth="1"/>
    <col min="6" max="6" width="5" customWidth="1"/>
    <col min="7" max="7" width="18" customWidth="1"/>
    <col min="8" max="8" width="20.26953125" bestFit="1" customWidth="1"/>
    <col min="9" max="9" width="2" customWidth="1"/>
    <col min="11" max="11" width="11.1796875" bestFit="1" customWidth="1"/>
    <col min="12" max="12" width="14" customWidth="1"/>
    <col min="13" max="13" width="15.453125" bestFit="1" customWidth="1"/>
    <col min="14" max="14" width="11" bestFit="1" customWidth="1"/>
    <col min="15" max="15" width="6" customWidth="1"/>
    <col min="16" max="16" width="10" bestFit="1" customWidth="1"/>
    <col min="17" max="17" width="14.81640625" bestFit="1" customWidth="1"/>
    <col min="18" max="18" width="23" bestFit="1" customWidth="1"/>
    <col min="19" max="19" width="70.81640625" bestFit="1" customWidth="1"/>
    <col min="20" max="20" width="23.81640625" bestFit="1" customWidth="1"/>
  </cols>
  <sheetData>
    <row r="1" spans="3:24" ht="15" thickBot="1" x14ac:dyDescent="0.4"/>
    <row r="2" spans="3:24" ht="15" customHeight="1" x14ac:dyDescent="0.35">
      <c r="C2" s="45" t="s">
        <v>0</v>
      </c>
      <c r="D2" s="46"/>
      <c r="E2" s="46"/>
      <c r="F2" s="46"/>
      <c r="G2" s="46"/>
      <c r="H2" s="46"/>
      <c r="I2" s="47"/>
      <c r="K2" s="115"/>
      <c r="L2" s="115"/>
      <c r="M2" s="115"/>
      <c r="N2" s="115"/>
      <c r="O2" s="115"/>
      <c r="P2" s="115"/>
      <c r="Q2" s="115"/>
      <c r="R2" s="115"/>
      <c r="S2" s="115"/>
      <c r="T2" s="115"/>
      <c r="U2" s="114"/>
      <c r="V2" s="114"/>
      <c r="W2" s="114"/>
      <c r="X2" s="114"/>
    </row>
    <row r="3" spans="3:24" ht="15" customHeight="1" x14ac:dyDescent="0.5">
      <c r="C3" s="48"/>
      <c r="D3" s="49"/>
      <c r="E3" s="49"/>
      <c r="F3" s="49"/>
      <c r="G3" s="49"/>
      <c r="H3" s="49"/>
      <c r="I3" s="50"/>
      <c r="K3" s="116" t="s">
        <v>1</v>
      </c>
      <c r="L3" s="116" t="s">
        <v>2</v>
      </c>
      <c r="M3" s="116" t="s">
        <v>3</v>
      </c>
      <c r="N3" s="116" t="s">
        <v>4</v>
      </c>
      <c r="O3" s="116" t="s">
        <v>5</v>
      </c>
      <c r="P3" s="116" t="s">
        <v>6</v>
      </c>
      <c r="Q3" s="116" t="s">
        <v>7</v>
      </c>
      <c r="R3" s="116" t="s">
        <v>8</v>
      </c>
      <c r="S3" s="116" t="s">
        <v>9</v>
      </c>
      <c r="T3" s="116" t="s">
        <v>10</v>
      </c>
      <c r="U3" s="114"/>
      <c r="V3" s="114"/>
      <c r="W3" s="114"/>
      <c r="X3" s="114"/>
    </row>
    <row r="4" spans="3:24" ht="15" thickBot="1" x14ac:dyDescent="0.4">
      <c r="C4" s="4"/>
      <c r="I4" s="1"/>
      <c r="K4" s="117">
        <f ca="1">E5</f>
        <v>45514</v>
      </c>
      <c r="L4" s="118" t="str">
        <f>E6</f>
        <v>Gleyce Kelly</v>
      </c>
      <c r="M4" s="118">
        <f>E7</f>
        <v>0</v>
      </c>
      <c r="N4" s="118" t="s">
        <v>11</v>
      </c>
      <c r="O4" s="118">
        <f>H7</f>
        <v>0</v>
      </c>
      <c r="P4" s="119" t="e">
        <f>H8</f>
        <v>#N/A</v>
      </c>
      <c r="Q4" s="120">
        <f>E9</f>
        <v>0</v>
      </c>
      <c r="R4" s="118">
        <f>H9</f>
        <v>0</v>
      </c>
      <c r="S4" s="118" t="e">
        <f>CONCATENATE(H7," ",H5," ",H6," / ",E13,"-",E14)</f>
        <v>#N/A</v>
      </c>
      <c r="T4" s="118">
        <f>E15</f>
        <v>0</v>
      </c>
      <c r="U4" s="114"/>
      <c r="V4" s="114"/>
      <c r="W4" s="114"/>
      <c r="X4" s="114"/>
    </row>
    <row r="5" spans="3:24" ht="15" thickBot="1" x14ac:dyDescent="0.4">
      <c r="C5" s="4"/>
      <c r="D5" s="6" t="s">
        <v>1</v>
      </c>
      <c r="E5" s="25">
        <f ca="1">TODAY()</f>
        <v>45514</v>
      </c>
      <c r="G5" s="8" t="s">
        <v>12</v>
      </c>
      <c r="H5" s="9"/>
      <c r="I5" s="1"/>
      <c r="K5" s="115"/>
      <c r="L5" s="115"/>
      <c r="M5" s="115"/>
      <c r="N5" s="115"/>
      <c r="O5" s="115"/>
      <c r="P5" s="115"/>
      <c r="Q5" s="115"/>
      <c r="R5" s="115"/>
      <c r="S5" s="115"/>
      <c r="T5" s="115"/>
      <c r="U5" s="114"/>
      <c r="V5" s="114"/>
      <c r="W5" s="114"/>
      <c r="X5" s="114"/>
    </row>
    <row r="6" spans="3:24" ht="15" thickBot="1" x14ac:dyDescent="0.4">
      <c r="C6" s="4"/>
      <c r="D6" s="6" t="s">
        <v>2</v>
      </c>
      <c r="E6" s="26" t="s">
        <v>13</v>
      </c>
      <c r="G6" s="6" t="s">
        <v>14</v>
      </c>
      <c r="H6" s="26" t="e">
        <f>VLOOKUP(H5,BD_relação_produtos[],3,FALSE)</f>
        <v>#N/A</v>
      </c>
      <c r="I6" s="1"/>
    </row>
    <row r="7" spans="3:24" ht="15" thickBot="1" x14ac:dyDescent="0.4">
      <c r="C7" s="4"/>
      <c r="D7" s="6" t="s">
        <v>3</v>
      </c>
      <c r="E7" s="26"/>
      <c r="G7" s="10" t="s">
        <v>15</v>
      </c>
      <c r="H7" s="26"/>
      <c r="I7" s="1"/>
    </row>
    <row r="8" spans="3:24" ht="15" thickBot="1" x14ac:dyDescent="0.4">
      <c r="C8" s="4"/>
      <c r="G8" s="10" t="s">
        <v>6</v>
      </c>
      <c r="H8" s="11" t="e">
        <f>VLOOKUP(H5,BD_relação_produtos[],7,FALSE)*H7</f>
        <v>#N/A</v>
      </c>
      <c r="I8" s="1"/>
    </row>
    <row r="9" spans="3:24" ht="32.25" customHeight="1" thickBot="1" x14ac:dyDescent="0.55000000000000004">
      <c r="C9" s="4"/>
      <c r="D9" s="6" t="s">
        <v>16</v>
      </c>
      <c r="E9" s="22"/>
      <c r="G9" s="7" t="s">
        <v>17</v>
      </c>
      <c r="H9" s="21"/>
      <c r="I9" s="1"/>
    </row>
    <row r="10" spans="3:24" ht="15" thickBot="1" x14ac:dyDescent="0.4">
      <c r="C10" s="5"/>
      <c r="D10" s="2"/>
      <c r="E10" s="2" t="s">
        <v>18</v>
      </c>
      <c r="F10" s="2"/>
      <c r="G10" s="2"/>
      <c r="H10" s="2"/>
      <c r="I10" s="3"/>
    </row>
    <row r="11" spans="3:24" ht="19" thickBot="1" x14ac:dyDescent="0.4">
      <c r="C11" s="51" t="s">
        <v>19</v>
      </c>
      <c r="D11" s="52"/>
      <c r="E11" s="52"/>
      <c r="F11" s="52"/>
      <c r="G11" s="52"/>
      <c r="H11" s="52"/>
      <c r="I11" s="53"/>
    </row>
    <row r="12" spans="3:24" ht="15" thickBot="1" x14ac:dyDescent="0.4">
      <c r="C12" s="12"/>
      <c r="D12" s="13"/>
      <c r="E12" s="13"/>
      <c r="F12" s="13"/>
      <c r="G12" s="13"/>
      <c r="H12" s="13"/>
      <c r="I12" s="14"/>
    </row>
    <row r="13" spans="3:24" ht="15" thickBot="1" x14ac:dyDescent="0.4">
      <c r="C13" s="4"/>
      <c r="D13" s="6" t="s">
        <v>20</v>
      </c>
      <c r="E13" s="54"/>
      <c r="F13" s="55"/>
      <c r="G13" s="56"/>
      <c r="H13" s="15"/>
      <c r="I13" s="1"/>
    </row>
    <row r="14" spans="3:24" ht="15" thickBot="1" x14ac:dyDescent="0.4">
      <c r="C14" s="4"/>
      <c r="D14" s="6" t="s">
        <v>21</v>
      </c>
      <c r="E14" s="57"/>
      <c r="F14" s="58"/>
      <c r="G14" s="59"/>
      <c r="H14" s="15"/>
      <c r="I14" s="1"/>
    </row>
    <row r="15" spans="3:24" x14ac:dyDescent="0.35">
      <c r="C15" s="4"/>
      <c r="D15" s="66" t="s">
        <v>22</v>
      </c>
      <c r="E15" s="60"/>
      <c r="F15" s="61"/>
      <c r="G15" s="62"/>
      <c r="H15" s="15"/>
      <c r="I15" s="1"/>
    </row>
    <row r="16" spans="3:24" ht="15" thickBot="1" x14ac:dyDescent="0.4">
      <c r="C16" s="4"/>
      <c r="D16" s="67"/>
      <c r="E16" s="63"/>
      <c r="F16" s="64"/>
      <c r="G16" s="65"/>
      <c r="I16" s="1"/>
    </row>
    <row r="17" spans="3:9" ht="15" thickBot="1" x14ac:dyDescent="0.4">
      <c r="C17" s="5"/>
      <c r="D17" s="2"/>
      <c r="E17" s="2"/>
      <c r="F17" s="2"/>
      <c r="G17" s="2"/>
      <c r="H17" s="2"/>
      <c r="I17" s="3"/>
    </row>
  </sheetData>
  <mergeCells count="6">
    <mergeCell ref="C2:I3"/>
    <mergeCell ref="C11:I11"/>
    <mergeCell ref="E13:G13"/>
    <mergeCell ref="E14:G14"/>
    <mergeCell ref="E15:G16"/>
    <mergeCell ref="D15:D16"/>
  </mergeCells>
  <dataValidations xWindow="498" yWindow="349" count="3">
    <dataValidation type="whole" errorStyle="information" allowBlank="1" showInputMessage="1" showErrorMessage="1" errorTitle="Está errado!" error="Você digitou algo que não é um número ou digitou um número que não está entre 1 e 50." promptTitle="Apenas Números" prompt="Coloque um número de 1 à 50._x000a_" sqref="H7" xr:uid="{56E2E89D-87E7-49B8-8FD5-008C1334A452}">
      <formula1>1</formula1>
      <formula2>50</formula2>
    </dataValidation>
    <dataValidation type="list" allowBlank="1" showInputMessage="1" showErrorMessage="1" sqref="H9" xr:uid="{AD41CB3C-406A-49AB-823A-C5086F1493FF}">
      <formula1>"À vista,Pix,Débito,Crédito,Outra"</formula1>
    </dataValidation>
    <dataValidation type="whole" allowBlank="1" showInputMessage="1" showErrorMessage="1" promptTitle="Apenas números!" prompt="Coloque epenas o número correspondente ao pagamento efetuado pelo cliente na hora da compra." sqref="E9" xr:uid="{34473010-5F39-41DF-BF76-D35614F16722}">
      <formula1>0</formula1>
      <formula2>99999</formula2>
    </dataValidation>
  </dataValidations>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xWindow="498" yWindow="349" count="3">
        <x14:dataValidation type="list" allowBlank="1" showInputMessage="1" showErrorMessage="1" xr:uid="{873F8CB5-5997-4A98-B2A3-390A1433872F}">
          <x14:formula1>
            <xm:f>'Banco de dados'!$E$3:$E$4</xm:f>
          </x14:formula1>
          <xm:sqref>E6</xm:sqref>
        </x14:dataValidation>
        <x14:dataValidation type="list" allowBlank="1" showInputMessage="1" showErrorMessage="1" xr:uid="{C61CBFC5-3C9B-48FF-8F03-C363342E7DAF}">
          <x14:formula1>
            <xm:f>'Banco de dados'!$S$3:$S$30</xm:f>
          </x14:formula1>
          <xm:sqref>H5</xm:sqref>
        </x14:dataValidation>
        <x14:dataValidation type="list" allowBlank="1" showInputMessage="1" showErrorMessage="1" promptTitle="Escolha." prompt="Escolhe para quem você vai vender._x000a__x000a_Obs: para aparecer o nome aqui você deve cadastrar o cliente na guia &quot;Cadastro de clientes&quot;." xr:uid="{588EB907-08C2-4995-9FF9-9F5D78C4438B}">
          <x14:formula1>
            <xm:f>'Banco de dados'!$K$3:$K$4</xm:f>
          </x14:formula1>
          <xm:sqref>E7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549CF-FBCE-434F-958D-384A97EFF026}">
  <sheetPr codeName="Planilha4">
    <tabColor rgb="FFFF0000"/>
  </sheetPr>
  <dimension ref="C1:Z17"/>
  <sheetViews>
    <sheetView showGridLines="0" topLeftCell="C1" zoomScale="85" zoomScaleNormal="85" workbookViewId="0">
      <selection activeCell="J18" sqref="J18"/>
    </sheetView>
  </sheetViews>
  <sheetFormatPr defaultRowHeight="14.5" x14ac:dyDescent="0.35"/>
  <cols>
    <col min="3" max="3" width="2" customWidth="1"/>
    <col min="4" max="4" width="16" bestFit="1" customWidth="1"/>
    <col min="5" max="5" width="18.26953125" bestFit="1" customWidth="1"/>
    <col min="6" max="6" width="5" customWidth="1"/>
    <col min="7" max="7" width="18" customWidth="1"/>
    <col min="8" max="8" width="20.26953125" bestFit="1" customWidth="1"/>
    <col min="9" max="9" width="2" customWidth="1"/>
    <col min="11" max="11" width="11.1796875" bestFit="1" customWidth="1"/>
    <col min="12" max="12" width="15.7265625" bestFit="1" customWidth="1"/>
    <col min="13" max="13" width="15.453125" bestFit="1" customWidth="1"/>
    <col min="14" max="14" width="11" bestFit="1" customWidth="1"/>
    <col min="15" max="15" width="10.36328125" bestFit="1" customWidth="1"/>
    <col min="16" max="16" width="10" bestFit="1" customWidth="1"/>
    <col min="17" max="17" width="14.81640625" bestFit="1" customWidth="1"/>
    <col min="18" max="18" width="23" bestFit="1" customWidth="1"/>
    <col min="19" max="19" width="70.81640625" bestFit="1" customWidth="1"/>
    <col min="20" max="20" width="16.54296875" bestFit="1" customWidth="1"/>
    <col min="21" max="21" width="15.1796875" bestFit="1" customWidth="1"/>
    <col min="22" max="22" width="15.54296875" bestFit="1" customWidth="1"/>
  </cols>
  <sheetData>
    <row r="1" spans="3:26" ht="15" thickBot="1" x14ac:dyDescent="0.4"/>
    <row r="2" spans="3:26" x14ac:dyDescent="0.35">
      <c r="C2" s="68" t="s">
        <v>23</v>
      </c>
      <c r="D2" s="69"/>
      <c r="E2" s="69"/>
      <c r="F2" s="69"/>
      <c r="G2" s="69"/>
      <c r="H2" s="69"/>
      <c r="I2" s="70"/>
      <c r="K2" s="87"/>
      <c r="L2" s="87"/>
      <c r="M2" s="87"/>
      <c r="N2" s="87"/>
      <c r="O2" s="87"/>
      <c r="P2" s="87"/>
      <c r="Q2" s="87"/>
      <c r="R2" s="87"/>
      <c r="S2" s="87"/>
      <c r="T2" s="87"/>
      <c r="U2" s="87"/>
      <c r="V2" s="87"/>
      <c r="W2" s="114"/>
      <c r="X2" s="114"/>
      <c r="Y2" s="114"/>
      <c r="Z2" s="114"/>
    </row>
    <row r="3" spans="3:26" ht="21" x14ac:dyDescent="0.5">
      <c r="C3" s="71"/>
      <c r="D3" s="72"/>
      <c r="E3" s="72"/>
      <c r="F3" s="72"/>
      <c r="G3" s="72"/>
      <c r="H3" s="72"/>
      <c r="I3" s="73"/>
      <c r="K3" s="121" t="s">
        <v>1</v>
      </c>
      <c r="L3" s="121" t="s">
        <v>2</v>
      </c>
      <c r="M3" s="121" t="s">
        <v>3</v>
      </c>
      <c r="N3" s="121" t="s">
        <v>4</v>
      </c>
      <c r="O3" s="121" t="s">
        <v>5</v>
      </c>
      <c r="P3" s="121" t="s">
        <v>6</v>
      </c>
      <c r="Q3" s="121" t="s">
        <v>7</v>
      </c>
      <c r="R3" s="121" t="s">
        <v>8</v>
      </c>
      <c r="S3" s="121" t="s">
        <v>9</v>
      </c>
      <c r="T3" s="121" t="s">
        <v>10</v>
      </c>
      <c r="U3" s="121" t="s">
        <v>27</v>
      </c>
      <c r="V3" s="121" t="s">
        <v>30</v>
      </c>
      <c r="W3" s="114"/>
      <c r="X3" s="114"/>
      <c r="Y3" s="114"/>
      <c r="Z3" s="114"/>
    </row>
    <row r="4" spans="3:26" ht="15" thickBot="1" x14ac:dyDescent="0.4">
      <c r="C4" s="4"/>
      <c r="I4" s="1"/>
      <c r="K4" s="122">
        <f ca="1">E5</f>
        <v>45514</v>
      </c>
      <c r="L4" s="123" t="s">
        <v>24</v>
      </c>
      <c r="M4" s="123" t="s">
        <v>24</v>
      </c>
      <c r="N4" s="123" t="s">
        <v>25</v>
      </c>
      <c r="O4" s="123">
        <f>H7</f>
        <v>0</v>
      </c>
      <c r="P4" s="124" t="e">
        <f>H8</f>
        <v>#N/A</v>
      </c>
      <c r="Q4" s="125">
        <f>E9</f>
        <v>0</v>
      </c>
      <c r="R4" s="123">
        <f>H9</f>
        <v>0</v>
      </c>
      <c r="S4" s="123" t="str">
        <f>CONCATENATE(H7," ",H6," ",H5,)</f>
        <v xml:space="preserve"> Conta(as) </v>
      </c>
      <c r="T4" s="123">
        <f>E15</f>
        <v>0</v>
      </c>
      <c r="U4" s="123" t="str">
        <f>E6</f>
        <v>Gleyce Kelly</v>
      </c>
      <c r="V4" s="123">
        <f>E7</f>
        <v>0</v>
      </c>
      <c r="W4" s="114"/>
      <c r="X4" s="114"/>
      <c r="Y4" s="114"/>
      <c r="Z4" s="114"/>
    </row>
    <row r="5" spans="3:26" ht="15" thickBot="1" x14ac:dyDescent="0.4">
      <c r="C5" s="4"/>
      <c r="D5" s="32" t="s">
        <v>1</v>
      </c>
      <c r="E5" s="25">
        <f ca="1">TODAY()</f>
        <v>45514</v>
      </c>
      <c r="G5" s="32" t="s">
        <v>12</v>
      </c>
      <c r="H5" s="9"/>
      <c r="I5" s="1"/>
      <c r="K5" s="87"/>
      <c r="L5" s="87"/>
      <c r="M5" s="87"/>
      <c r="N5" s="87"/>
      <c r="O5" s="87"/>
      <c r="P5" s="87"/>
      <c r="Q5" s="87"/>
      <c r="R5" s="87"/>
      <c r="S5" s="87"/>
      <c r="T5" s="87"/>
      <c r="U5" s="87"/>
      <c r="V5" s="87"/>
      <c r="W5" s="114"/>
      <c r="X5" s="114"/>
      <c r="Y5" s="114"/>
      <c r="Z5" s="114"/>
    </row>
    <row r="6" spans="3:26" ht="15" thickBot="1" x14ac:dyDescent="0.4">
      <c r="C6" s="4"/>
      <c r="D6" s="32" t="s">
        <v>27</v>
      </c>
      <c r="E6" s="26" t="s">
        <v>13</v>
      </c>
      <c r="G6" s="32" t="s">
        <v>28</v>
      </c>
      <c r="H6" s="26" t="s">
        <v>29</v>
      </c>
      <c r="I6" s="1"/>
    </row>
    <row r="7" spans="3:26" ht="15" thickBot="1" x14ac:dyDescent="0.4">
      <c r="C7" s="4"/>
      <c r="D7" s="32" t="s">
        <v>30</v>
      </c>
      <c r="E7" s="26"/>
      <c r="G7" s="32" t="s">
        <v>15</v>
      </c>
      <c r="H7" s="26"/>
      <c r="I7" s="1"/>
    </row>
    <row r="8" spans="3:26" ht="15" thickBot="1" x14ac:dyDescent="0.4">
      <c r="C8" s="4"/>
      <c r="G8" s="32" t="s">
        <v>6</v>
      </c>
      <c r="H8" s="11" t="e">
        <f>VLOOKUP(H5,BD_relação_produtos[],5,FALSE)*H7</f>
        <v>#N/A</v>
      </c>
      <c r="I8" s="1"/>
    </row>
    <row r="9" spans="3:26" ht="29.5" thickBot="1" x14ac:dyDescent="0.55000000000000004">
      <c r="C9" s="4"/>
      <c r="D9" s="32" t="s">
        <v>16</v>
      </c>
      <c r="E9" s="22"/>
      <c r="G9" s="33" t="s">
        <v>17</v>
      </c>
      <c r="H9" s="21"/>
      <c r="I9" s="1"/>
    </row>
    <row r="10" spans="3:26" ht="15" thickBot="1" x14ac:dyDescent="0.4">
      <c r="C10" s="5"/>
      <c r="D10" s="2"/>
      <c r="E10" s="2" t="s">
        <v>18</v>
      </c>
      <c r="F10" s="2"/>
      <c r="G10" s="2"/>
      <c r="H10" s="2"/>
      <c r="I10" s="3"/>
      <c r="K10" s="126" t="s">
        <v>38</v>
      </c>
      <c r="L10" s="126" t="s">
        <v>39</v>
      </c>
      <c r="M10" s="126" t="s">
        <v>21</v>
      </c>
      <c r="N10" s="126" t="s">
        <v>22</v>
      </c>
      <c r="O10" s="126" t="s">
        <v>40</v>
      </c>
      <c r="P10" s="126" t="s">
        <v>41</v>
      </c>
      <c r="Q10" s="114"/>
      <c r="R10" s="114"/>
      <c r="S10" s="114"/>
      <c r="T10" s="114"/>
    </row>
    <row r="11" spans="3:26" ht="29.5" thickBot="1" x14ac:dyDescent="0.4">
      <c r="C11" s="74" t="s">
        <v>19</v>
      </c>
      <c r="D11" s="75"/>
      <c r="E11" s="75"/>
      <c r="F11" s="75"/>
      <c r="G11" s="75"/>
      <c r="H11" s="75"/>
      <c r="I11" s="76"/>
      <c r="K11" s="123">
        <f>H5</f>
        <v>0</v>
      </c>
      <c r="L11" s="127">
        <f>E13</f>
        <v>0</v>
      </c>
      <c r="M11" s="128">
        <f>E14</f>
        <v>0</v>
      </c>
      <c r="N11" s="129">
        <f>E15</f>
        <v>0</v>
      </c>
      <c r="O11" s="130" t="e">
        <f>VLOOKUP(H5,Propriedades_produtos[],3,FALSE)</f>
        <v>#N/A</v>
      </c>
      <c r="P11" s="131" t="e">
        <f>VLOOKUP(H5,Propriedades_produtos[],4,FALSE)</f>
        <v>#N/A</v>
      </c>
      <c r="Q11" s="114"/>
      <c r="R11" s="114"/>
      <c r="S11" s="114"/>
      <c r="T11" s="114"/>
    </row>
    <row r="12" spans="3:26" ht="15" thickBot="1" x14ac:dyDescent="0.4">
      <c r="C12" s="12"/>
      <c r="D12" s="13"/>
      <c r="E12" s="13"/>
      <c r="F12" s="13"/>
      <c r="G12" s="13"/>
      <c r="H12" s="13"/>
      <c r="I12" s="14"/>
    </row>
    <row r="13" spans="3:26" ht="15" thickBot="1" x14ac:dyDescent="0.4">
      <c r="C13" s="4"/>
      <c r="D13" s="27" t="s">
        <v>20</v>
      </c>
      <c r="E13" s="77"/>
      <c r="F13" s="78"/>
      <c r="G13" s="79"/>
      <c r="H13" s="15"/>
      <c r="I13" s="1"/>
    </row>
    <row r="14" spans="3:26" ht="15" thickBot="1" x14ac:dyDescent="0.4">
      <c r="C14" s="4"/>
      <c r="D14" s="27" t="s">
        <v>21</v>
      </c>
      <c r="E14" s="80"/>
      <c r="F14" s="81"/>
      <c r="G14" s="82"/>
      <c r="H14" s="15"/>
      <c r="I14" s="1"/>
    </row>
    <row r="15" spans="3:26" x14ac:dyDescent="0.35">
      <c r="C15" s="4"/>
      <c r="D15" s="83" t="s">
        <v>34</v>
      </c>
      <c r="E15" s="60"/>
      <c r="F15" s="61"/>
      <c r="G15" s="62"/>
      <c r="H15" s="15"/>
      <c r="I15" s="1"/>
    </row>
    <row r="16" spans="3:26" ht="15" thickBot="1" x14ac:dyDescent="0.4">
      <c r="C16" s="4"/>
      <c r="D16" s="84"/>
      <c r="E16" s="63"/>
      <c r="F16" s="64"/>
      <c r="G16" s="65"/>
      <c r="I16" s="1"/>
    </row>
    <row r="17" spans="3:9" ht="15" thickBot="1" x14ac:dyDescent="0.4">
      <c r="C17" s="5"/>
      <c r="D17" s="2"/>
      <c r="E17" s="2"/>
      <c r="F17" s="2"/>
      <c r="G17" s="2"/>
      <c r="H17" s="2"/>
      <c r="I17" s="3"/>
    </row>
  </sheetData>
  <mergeCells count="6">
    <mergeCell ref="C2:I3"/>
    <mergeCell ref="C11:I11"/>
    <mergeCell ref="E13:G13"/>
    <mergeCell ref="E14:G14"/>
    <mergeCell ref="D15:D16"/>
    <mergeCell ref="E15:G16"/>
  </mergeCells>
  <dataValidations count="4">
    <dataValidation type="whole" allowBlank="1" showInputMessage="1" showErrorMessage="1" promptTitle="Apenas números!" prompt="Coloque epenas o número correspondente ao pagamento efetuado pelo cliente na hora da compra." sqref="E9" xr:uid="{353DE06A-2E67-4386-A09E-2A2928DCCFE7}">
      <formula1>0</formula1>
      <formula2>99999</formula2>
    </dataValidation>
    <dataValidation type="list" allowBlank="1" showInputMessage="1" showErrorMessage="1" sqref="H9" xr:uid="{EDD644A8-BD42-4FD0-88E2-33F24AFAD5A4}">
      <formula1>"À vista,Pix,Débito,Crédito,Outra"</formula1>
    </dataValidation>
    <dataValidation type="whole" errorStyle="information" allowBlank="1" showInputMessage="1" showErrorMessage="1" errorTitle="Está errado!" error="Você digitou algo que não é um número ou digitou um número que não está entre 1 e 50." promptTitle="Apenas Números" prompt="Coloque um número de 1 à 50._x000a_" sqref="H7" xr:uid="{CAE8407B-1FAF-4E63-A4CB-ACC2A7369F34}">
      <formula1>1</formula1>
      <formula2>50</formula2>
    </dataValidation>
    <dataValidation type="list" allowBlank="1" showInputMessage="1" showErrorMessage="1" sqref="H6" xr:uid="{AFD46E8D-A891-4A60-A42A-9E04CE39E5BF}">
      <formula1>"Conta(as)"</formula1>
    </dataValidation>
  </dataValidations>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3">
        <x14:dataValidation type="list" allowBlank="1" showInputMessage="1" showErrorMessage="1" promptTitle="Escolha." prompt="Escolhe para quem você vai vender._x000a__x000a_Obs: para aparecer o nome aqui você deve cadastrar o cliente na guia &quot;Cadastrar cliente&quot;." xr:uid="{F6C6977A-A7FA-4FB9-9055-867230387E9D}">
          <x14:formula1>
            <xm:f>'Banco de dados'!$B$3:$B$9</xm:f>
          </x14:formula1>
          <xm:sqref>E7</xm:sqref>
        </x14:dataValidation>
        <x14:dataValidation type="list" allowBlank="1" showInputMessage="1" showErrorMessage="1" xr:uid="{B1040C15-408D-46D9-99CB-72FB6F1D9CAE}">
          <x14:formula1>
            <xm:f>'Banco de dados'!$P$3:$P$5</xm:f>
          </x14:formula1>
          <xm:sqref>E6</xm:sqref>
        </x14:dataValidation>
        <x14:dataValidation type="list" allowBlank="1" showInputMessage="1" showErrorMessage="1" xr:uid="{4A1593BF-DF43-48A7-AB2F-A540FBCA80E8}">
          <x14:formula1>
            <xm:f>'Banco de dados'!$S$3:$S$30</xm:f>
          </x14:formula1>
          <xm:sqref>H5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26502-3CC9-4EED-B7BC-E439502E4C71}">
  <sheetPr codeName="Sheet1"/>
  <dimension ref="D1:J12"/>
  <sheetViews>
    <sheetView showGridLines="0" topLeftCell="A2" workbookViewId="0">
      <selection activeCell="E5" sqref="E5"/>
    </sheetView>
  </sheetViews>
  <sheetFormatPr defaultRowHeight="14.5" x14ac:dyDescent="0.35"/>
  <cols>
    <col min="5" max="5" width="32" bestFit="1" customWidth="1"/>
    <col min="7" max="7" width="16" bestFit="1" customWidth="1"/>
    <col min="8" max="8" width="5.54296875" bestFit="1" customWidth="1"/>
    <col min="9" max="9" width="32" bestFit="1" customWidth="1"/>
    <col min="10" max="10" width="11.81640625" bestFit="1" customWidth="1"/>
  </cols>
  <sheetData>
    <row r="1" spans="4:10" ht="10" customHeight="1" x14ac:dyDescent="0.35"/>
    <row r="2" spans="4:10" ht="59.5" customHeight="1" x14ac:dyDescent="0.35"/>
    <row r="3" spans="4:10" ht="15" thickBot="1" x14ac:dyDescent="0.4"/>
    <row r="4" spans="4:10" ht="29" thickBot="1" x14ac:dyDescent="0.7">
      <c r="D4" s="85" t="s">
        <v>88</v>
      </c>
      <c r="E4" s="86"/>
      <c r="G4" s="88" t="s">
        <v>89</v>
      </c>
      <c r="H4" s="89" t="s">
        <v>90</v>
      </c>
      <c r="I4" s="89" t="s">
        <v>91</v>
      </c>
      <c r="J4" s="90" t="s">
        <v>92</v>
      </c>
    </row>
    <row r="5" spans="4:10" ht="15" thickBot="1" x14ac:dyDescent="0.4">
      <c r="D5" s="44" t="s">
        <v>89</v>
      </c>
      <c r="E5" s="42"/>
      <c r="G5" s="5">
        <f>E5</f>
        <v>0</v>
      </c>
      <c r="H5" s="2">
        <f>E6</f>
        <v>0</v>
      </c>
      <c r="I5" s="2">
        <f>E7</f>
        <v>0</v>
      </c>
      <c r="J5" s="3">
        <f>E8</f>
        <v>0</v>
      </c>
    </row>
    <row r="6" spans="4:10" ht="15" thickBot="1" x14ac:dyDescent="0.4">
      <c r="D6" s="43" t="s">
        <v>90</v>
      </c>
      <c r="E6" s="42"/>
    </row>
    <row r="7" spans="4:10" ht="15" thickBot="1" x14ac:dyDescent="0.4">
      <c r="D7" s="43" t="s">
        <v>91</v>
      </c>
      <c r="E7" s="42"/>
    </row>
    <row r="8" spans="4:10" ht="15" thickBot="1" x14ac:dyDescent="0.4">
      <c r="D8" s="43" t="s">
        <v>92</v>
      </c>
      <c r="E8" s="42"/>
    </row>
    <row r="9" spans="4:10" x14ac:dyDescent="0.35">
      <c r="D9" s="4"/>
      <c r="E9" s="1"/>
    </row>
    <row r="10" spans="4:10" x14ac:dyDescent="0.35">
      <c r="D10" s="4"/>
      <c r="E10" s="1"/>
    </row>
    <row r="11" spans="4:10" x14ac:dyDescent="0.35">
      <c r="D11" s="4"/>
      <c r="E11" s="1"/>
    </row>
    <row r="12" spans="4:10" ht="15" thickBot="1" x14ac:dyDescent="0.4">
      <c r="D12" s="5"/>
      <c r="E12" s="3"/>
    </row>
  </sheetData>
  <mergeCells count="1">
    <mergeCell ref="D4:E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CFD6E-C11A-4E73-9D19-BDFF4971C1D1}">
  <sheetPr codeName="Sheet2">
    <tabColor theme="7" tint="-0.249977111117893"/>
  </sheetPr>
  <dimension ref="C3:P11"/>
  <sheetViews>
    <sheetView showGridLines="0" topLeftCell="C1" workbookViewId="0">
      <selection activeCell="E6" sqref="E6"/>
    </sheetView>
  </sheetViews>
  <sheetFormatPr defaultRowHeight="14.5" x14ac:dyDescent="0.35"/>
  <cols>
    <col min="3" max="3" width="2.90625" customWidth="1"/>
    <col min="4" max="4" width="9.81640625" bestFit="1" customWidth="1"/>
    <col min="5" max="5" width="13.36328125" customWidth="1"/>
    <col min="6" max="6" width="8.08984375" customWidth="1"/>
    <col min="7" max="7" width="27.08984375" bestFit="1" customWidth="1"/>
    <col min="8" max="8" width="18.7265625" bestFit="1" customWidth="1"/>
    <col min="9" max="9" width="2.54296875" customWidth="1"/>
    <col min="10" max="10" width="8.7265625" customWidth="1"/>
    <col min="11" max="11" width="8.26953125" bestFit="1" customWidth="1"/>
    <col min="12" max="12" width="10" bestFit="1" customWidth="1"/>
    <col min="13" max="13" width="13.90625" bestFit="1" customWidth="1"/>
    <col min="14" max="14" width="27.26953125" bestFit="1" customWidth="1"/>
    <col min="15" max="15" width="24.26953125" bestFit="1" customWidth="1"/>
    <col min="16" max="16" width="13.453125" bestFit="1" customWidth="1"/>
  </cols>
  <sheetData>
    <row r="3" spans="3:16" ht="15" thickBot="1" x14ac:dyDescent="0.4"/>
    <row r="4" spans="3:16" ht="29" thickBot="1" x14ac:dyDescent="0.7">
      <c r="C4" s="103" t="s">
        <v>99</v>
      </c>
      <c r="D4" s="104"/>
      <c r="E4" s="104"/>
      <c r="F4" s="104"/>
      <c r="G4" s="104"/>
      <c r="H4" s="104"/>
      <c r="I4" s="105"/>
      <c r="J4" s="96"/>
    </row>
    <row r="5" spans="3:16" ht="16" thickBot="1" x14ac:dyDescent="0.4">
      <c r="C5" s="4"/>
      <c r="D5" s="100"/>
      <c r="E5" s="100"/>
      <c r="F5" s="100"/>
      <c r="G5" s="100"/>
      <c r="H5" s="100"/>
      <c r="I5" s="1"/>
      <c r="K5" s="99" t="s">
        <v>38</v>
      </c>
      <c r="L5" s="106" t="s">
        <v>46</v>
      </c>
      <c r="M5" s="106" t="s">
        <v>28</v>
      </c>
      <c r="N5" s="106" t="s">
        <v>47</v>
      </c>
      <c r="O5" s="106" t="s">
        <v>48</v>
      </c>
      <c r="P5" s="106" t="s">
        <v>49</v>
      </c>
    </row>
    <row r="6" spans="3:16" ht="24" thickBot="1" x14ac:dyDescent="0.6">
      <c r="C6" s="4"/>
      <c r="D6" s="99" t="s">
        <v>38</v>
      </c>
      <c r="E6" s="132"/>
      <c r="F6" s="101"/>
      <c r="G6" s="106" t="s">
        <v>46</v>
      </c>
      <c r="H6" s="97"/>
      <c r="I6" s="1"/>
      <c r="K6">
        <f>E6</f>
        <v>0</v>
      </c>
      <c r="L6">
        <f>H6</f>
        <v>0</v>
      </c>
      <c r="M6">
        <f>H7</f>
        <v>0</v>
      </c>
      <c r="N6" s="107">
        <f>H8</f>
        <v>0</v>
      </c>
      <c r="O6" s="107">
        <f>H9</f>
        <v>0</v>
      </c>
      <c r="P6" s="107">
        <f>H10</f>
        <v>0</v>
      </c>
    </row>
    <row r="7" spans="3:16" ht="15" thickBot="1" x14ac:dyDescent="0.4">
      <c r="C7" s="4"/>
      <c r="D7" s="100"/>
      <c r="E7" s="102"/>
      <c r="F7" s="100"/>
      <c r="G7" s="106" t="s">
        <v>28</v>
      </c>
      <c r="H7" s="97"/>
      <c r="I7" s="1"/>
    </row>
    <row r="8" spans="3:16" ht="15" thickBot="1" x14ac:dyDescent="0.4">
      <c r="C8" s="4"/>
      <c r="D8" s="100"/>
      <c r="E8" s="100"/>
      <c r="F8" s="100"/>
      <c r="G8" s="106" t="s">
        <v>47</v>
      </c>
      <c r="H8" s="98"/>
      <c r="I8" s="1"/>
    </row>
    <row r="9" spans="3:16" ht="15" thickBot="1" x14ac:dyDescent="0.4">
      <c r="C9" s="4"/>
      <c r="D9" s="100"/>
      <c r="E9" s="100"/>
      <c r="F9" s="100"/>
      <c r="G9" s="106" t="s">
        <v>48</v>
      </c>
      <c r="H9" s="98"/>
      <c r="I9" s="1"/>
    </row>
    <row r="10" spans="3:16" ht="15" thickBot="1" x14ac:dyDescent="0.4">
      <c r="C10" s="4"/>
      <c r="D10" s="100"/>
      <c r="E10" s="100"/>
      <c r="F10" s="100"/>
      <c r="G10" s="106" t="s">
        <v>49</v>
      </c>
      <c r="H10" s="98"/>
      <c r="I10" s="1"/>
    </row>
    <row r="11" spans="3:16" ht="15" thickBot="1" x14ac:dyDescent="0.4">
      <c r="C11" s="5"/>
      <c r="D11" s="2"/>
      <c r="E11" s="2"/>
      <c r="F11" s="2"/>
      <c r="G11" s="2"/>
      <c r="H11" s="2"/>
      <c r="I11" s="3"/>
    </row>
  </sheetData>
  <mergeCells count="1">
    <mergeCell ref="C4:I4"/>
  </mergeCells>
  <dataValidations count="2">
    <dataValidation type="list" allowBlank="1" showInputMessage="1" showErrorMessage="1" sqref="H6" xr:uid="{5762FE60-25AE-4C51-8FCA-7E6ED55DD394}">
      <formula1>"Perfis,Acesso_único,Acessos_Simultâneos"</formula1>
    </dataValidation>
    <dataValidation type="list" allowBlank="1" showInputMessage="1" showErrorMessage="1" sqref="H7" xr:uid="{864A92CD-A9C0-4A4A-A589-827136A1847F}">
      <formula1>"Conta(s)"</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8E431-187E-46BB-9228-D07D4299F6F4}">
  <sheetPr codeName="Sheet3">
    <tabColor theme="9" tint="-0.249977111117893"/>
  </sheetPr>
  <dimension ref="C3:P9"/>
  <sheetViews>
    <sheetView showGridLines="0" topLeftCell="B1" workbookViewId="0">
      <selection activeCell="L9" sqref="L9"/>
    </sheetView>
  </sheetViews>
  <sheetFormatPr defaultRowHeight="14.5" x14ac:dyDescent="0.35"/>
  <cols>
    <col min="3" max="3" width="3.1796875" customWidth="1"/>
    <col min="4" max="4" width="10.6328125" bestFit="1" customWidth="1"/>
    <col min="5" max="5" width="15.7265625" bestFit="1" customWidth="1"/>
    <col min="8" max="8" width="26" customWidth="1"/>
    <col min="10" max="10" width="2.453125" customWidth="1"/>
    <col min="12" max="12" width="15.7265625" bestFit="1" customWidth="1"/>
    <col min="13" max="13" width="10.6328125" bestFit="1" customWidth="1"/>
    <col min="14" max="14" width="11.81640625" bestFit="1" customWidth="1"/>
    <col min="15" max="15" width="18.1796875" bestFit="1" customWidth="1"/>
    <col min="16" max="16" width="5.6328125" bestFit="1" customWidth="1"/>
  </cols>
  <sheetData>
    <row r="3" spans="3:16" ht="15" thickBot="1" x14ac:dyDescent="0.4"/>
    <row r="4" spans="3:16" ht="36.5" thickBot="1" x14ac:dyDescent="0.85">
      <c r="C4" s="109" t="s">
        <v>100</v>
      </c>
      <c r="D4" s="110"/>
      <c r="E4" s="110"/>
      <c r="F4" s="110"/>
      <c r="G4" s="110"/>
      <c r="H4" s="110"/>
      <c r="I4" s="110"/>
      <c r="J4" s="111"/>
    </row>
    <row r="5" spans="3:16" ht="15" thickBot="1" x14ac:dyDescent="0.4">
      <c r="C5" s="4"/>
      <c r="D5" s="100"/>
      <c r="E5" s="100"/>
      <c r="F5" s="100"/>
      <c r="G5" s="100"/>
      <c r="H5" s="100"/>
      <c r="I5" s="100"/>
      <c r="J5" s="1"/>
      <c r="L5" s="108" t="s">
        <v>89</v>
      </c>
      <c r="M5" s="108" t="s">
        <v>101</v>
      </c>
      <c r="N5" s="108" t="s">
        <v>92</v>
      </c>
      <c r="O5" s="108" t="s">
        <v>91</v>
      </c>
      <c r="P5" s="108" t="s">
        <v>93</v>
      </c>
    </row>
    <row r="6" spans="3:16" ht="15" thickBot="1" x14ac:dyDescent="0.4">
      <c r="C6" s="4"/>
      <c r="D6" s="108" t="s">
        <v>89</v>
      </c>
      <c r="E6" s="97" t="s">
        <v>103</v>
      </c>
      <c r="F6" s="100"/>
      <c r="G6" s="108" t="s">
        <v>91</v>
      </c>
      <c r="H6" s="97" t="s">
        <v>96</v>
      </c>
      <c r="I6" s="100"/>
      <c r="J6" s="1"/>
      <c r="L6" t="str">
        <f>E6</f>
        <v>Fernando Oliveira</v>
      </c>
      <c r="M6" t="str">
        <f>E7</f>
        <v>15/02/2003</v>
      </c>
      <c r="N6">
        <f>E8</f>
        <v>21967385126</v>
      </c>
      <c r="O6" t="str">
        <f>H6</f>
        <v>Av. Beira Linha, 1275</v>
      </c>
      <c r="P6" t="str">
        <f>H7</f>
        <v>Sócio</v>
      </c>
    </row>
    <row r="7" spans="3:16" ht="15" thickBot="1" x14ac:dyDescent="0.4">
      <c r="C7" s="4"/>
      <c r="D7" s="108" t="s">
        <v>101</v>
      </c>
      <c r="E7" s="97" t="s">
        <v>104</v>
      </c>
      <c r="F7" s="100"/>
      <c r="G7" s="108" t="s">
        <v>93</v>
      </c>
      <c r="H7" s="97" t="s">
        <v>105</v>
      </c>
      <c r="I7" s="100"/>
      <c r="J7" s="1"/>
    </row>
    <row r="8" spans="3:16" ht="15" thickBot="1" x14ac:dyDescent="0.4">
      <c r="C8" s="4"/>
      <c r="D8" s="108" t="s">
        <v>92</v>
      </c>
      <c r="E8" s="97">
        <v>21967385126</v>
      </c>
      <c r="F8" s="100"/>
      <c r="G8" s="100"/>
      <c r="H8" s="100"/>
      <c r="I8" s="100"/>
      <c r="J8" s="1"/>
    </row>
    <row r="9" spans="3:16" ht="15" thickBot="1" x14ac:dyDescent="0.4">
      <c r="C9" s="5"/>
      <c r="D9" s="2"/>
      <c r="E9" s="2"/>
      <c r="F9" s="2"/>
      <c r="G9" s="2"/>
      <c r="H9" s="2"/>
      <c r="I9" s="2"/>
      <c r="J9" s="3"/>
    </row>
  </sheetData>
  <mergeCells count="1">
    <mergeCell ref="C4:J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6F5F-C99F-4079-986F-75870AAC6270}">
  <sheetPr codeName="Planilha2">
    <tabColor rgb="FF92D050"/>
  </sheetPr>
  <dimension ref="B1:O4"/>
  <sheetViews>
    <sheetView showGridLines="0" zoomScale="69" zoomScaleNormal="55" workbookViewId="0">
      <pane ySplit="3" topLeftCell="A4" activePane="bottomLeft" state="frozen"/>
      <selection pane="bottomLeft" activeCell="E4" sqref="E4"/>
    </sheetView>
  </sheetViews>
  <sheetFormatPr defaultRowHeight="14.5" x14ac:dyDescent="0.35"/>
  <cols>
    <col min="2" max="2" width="21.1796875" bestFit="1" customWidth="1"/>
    <col min="3" max="3" width="20.7265625" bestFit="1" customWidth="1"/>
    <col min="4" max="4" width="23.26953125" bestFit="1" customWidth="1"/>
    <col min="5" max="5" width="20.7265625" bestFit="1" customWidth="1"/>
    <col min="6" max="6" width="9.26953125" bestFit="1" customWidth="1"/>
    <col min="7" max="7" width="15" bestFit="1" customWidth="1"/>
    <col min="8" max="9" width="18.81640625" bestFit="1" customWidth="1"/>
    <col min="10" max="10" width="45.1796875" bestFit="1" customWidth="1"/>
    <col min="11" max="11" width="49.453125" customWidth="1"/>
    <col min="12" max="12" width="19.81640625" bestFit="1" customWidth="1"/>
    <col min="13" max="13" width="20.1796875" bestFit="1" customWidth="1"/>
    <col min="14" max="14" width="19.81640625" bestFit="1" customWidth="1"/>
    <col min="15" max="15" width="20.1796875" bestFit="1" customWidth="1"/>
  </cols>
  <sheetData>
    <row r="1" spans="2:15" ht="96" customHeight="1" x14ac:dyDescent="0.6">
      <c r="B1" s="18">
        <f>SUMIF(Fluxo_caixa[Tipo],"ENTRADA",Fluxo_caixa[Valor pago])</f>
        <v>0</v>
      </c>
      <c r="C1" s="18">
        <f>SUMIF(Fluxo_caixa[Tipo],"SAIDA",Fluxo_caixa[Valor])</f>
        <v>5</v>
      </c>
      <c r="D1" s="17"/>
      <c r="E1" s="18">
        <f>H1+(B1-C1)</f>
        <v>55</v>
      </c>
      <c r="H1" s="24">
        <v>60</v>
      </c>
    </row>
    <row r="2" spans="2:15" ht="77.25" customHeight="1" x14ac:dyDescent="0.35"/>
    <row r="3" spans="2:15" ht="21" x14ac:dyDescent="0.5">
      <c r="B3" s="16" t="s">
        <v>1</v>
      </c>
      <c r="C3" s="16" t="s">
        <v>2</v>
      </c>
      <c r="D3" s="16" t="s">
        <v>3</v>
      </c>
      <c r="E3" s="16" t="s">
        <v>4</v>
      </c>
      <c r="F3" s="16" t="s">
        <v>5</v>
      </c>
      <c r="G3" s="16" t="s">
        <v>6</v>
      </c>
      <c r="H3" s="16" t="s">
        <v>7</v>
      </c>
      <c r="I3" s="16" t="s">
        <v>8</v>
      </c>
      <c r="J3" s="16" t="s">
        <v>9</v>
      </c>
      <c r="K3" s="16" t="s">
        <v>10</v>
      </c>
      <c r="L3" s="16" t="s">
        <v>27</v>
      </c>
      <c r="M3" s="16" t="s">
        <v>30</v>
      </c>
      <c r="N3" s="16" t="s">
        <v>35</v>
      </c>
      <c r="O3" s="16" t="s">
        <v>36</v>
      </c>
    </row>
    <row r="4" spans="2:15" ht="21" x14ac:dyDescent="0.5">
      <c r="B4" s="38">
        <v>45514</v>
      </c>
      <c r="C4" s="38" t="s">
        <v>24</v>
      </c>
      <c r="D4" s="38" t="s">
        <v>24</v>
      </c>
      <c r="E4" s="91" t="s">
        <v>25</v>
      </c>
      <c r="F4" s="92">
        <v>1</v>
      </c>
      <c r="G4" s="95">
        <v>5</v>
      </c>
      <c r="H4" s="19">
        <v>5</v>
      </c>
      <c r="I4" s="20" t="s">
        <v>32</v>
      </c>
      <c r="J4" s="20" t="s">
        <v>107</v>
      </c>
      <c r="K4" s="20" t="s">
        <v>106</v>
      </c>
      <c r="L4" s="20" t="s">
        <v>13</v>
      </c>
      <c r="M4" s="20" t="s">
        <v>56</v>
      </c>
      <c r="N4" s="93">
        <f>SUM(Fluxo_caixa[[#This Row],[Valor]]-Fluxo_caixa[[#This Row],[Valor pago]])</f>
        <v>0</v>
      </c>
      <c r="O4" s="94">
        <f>IF(Fluxo_caixa[[#This Row],[Tipo]]="ENTRADA",SUM(Fluxo_caixa[[#Headers],[Subtotal]],+Fluxo_caixa[[#This Row],[Valor]],-(Fluxo_caixa[[#This Row],[Valor]]-Fluxo_caixa[[#This Row],[Valor pago]])),SUM(Fluxo_caixa[[#Headers],[Subtotal]],Fluxo_caixa[[#This Row],[Valor]]))</f>
        <v>5</v>
      </c>
    </row>
  </sheetData>
  <conditionalFormatting sqref="E4">
    <cfRule type="containsText" dxfId="1" priority="1" operator="containsText" text="SAIDA">
      <formula>NOT(ISERROR(SEARCH("SAIDA",E4)))</formula>
    </cfRule>
    <cfRule type="containsText" dxfId="0" priority="2" operator="containsText" text="ENTRADA">
      <formula>NOT(ISERROR(SEARCH("ENTRADA",E4)))</formula>
    </cfRule>
  </conditionalFormatting>
  <dataValidations count="3">
    <dataValidation type="list" allowBlank="1" showInputMessage="1" showErrorMessage="1" sqref="E4" xr:uid="{6B5A3325-AE78-4C0D-B7D7-84CD87BBCF08}">
      <formula1>"ENTRADA,SAIDA"</formula1>
    </dataValidation>
    <dataValidation type="whole" allowBlank="1" showInputMessage="1" showErrorMessage="1" errorTitle="Número inválido!" error="Você digitou um número inválido ou tentou digitar algo que não era um número." sqref="F4" xr:uid="{6B6562EB-AB3E-4CA3-95AA-15466C2E503A}">
      <formula1>0</formula1>
      <formula2>50</formula2>
    </dataValidation>
    <dataValidation type="list" allowBlank="1" showInputMessage="1" showErrorMessage="1" sqref="I4" xr:uid="{34529084-2F49-4791-86C4-8924298A34E4}">
      <formula1>"À vista,Pix,Débito,Crédito,Outra"</formula1>
    </dataValidation>
  </dataValidations>
  <pageMargins left="0.511811024" right="0.511811024" top="0.78740157499999996" bottom="0.78740157499999996" header="0.31496062000000002" footer="0.31496062000000002"/>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Cliente não cadastrado!" error="O cliente mencionado ainda não foi cadastrado em nosso sistema." xr:uid="{9FCD7DBD-3370-4FE7-8AD1-87A0D64E6642}">
          <x14:formula1>
            <xm:f>'Banco de dados'!#REF!</xm:f>
          </x14:formula1>
          <xm:sqref>D4</xm:sqref>
        </x14:dataValidation>
        <x14:dataValidation type="list" allowBlank="1" showInputMessage="1" showErrorMessage="1" errorTitle="Vendedor não cadastrado!" error="O vendedor mencionado ainda não foi cadastrado em nosso sistema." xr:uid="{E690875B-4C80-42B4-A6CD-D47265D61A63}">
          <x14:formula1>
            <xm:f>'Banco de dados'!$E$3:$E$4</xm:f>
          </x14:formula1>
          <xm:sqref>C4</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54894-C360-48DD-B54A-105E2AF07C48}">
  <sheetPr codeName="Planilha5">
    <tabColor theme="7" tint="-0.499984740745262"/>
  </sheetPr>
  <dimension ref="B2:I5"/>
  <sheetViews>
    <sheetView showGridLines="0" workbookViewId="0">
      <pane ySplit="3" topLeftCell="A4" activePane="bottomLeft" state="frozen"/>
      <selection pane="bottomLeft" activeCell="C6" sqref="C6"/>
    </sheetView>
  </sheetViews>
  <sheetFormatPr defaultRowHeight="14.5" x14ac:dyDescent="0.35"/>
  <cols>
    <col min="2" max="2" width="10.36328125" bestFit="1" customWidth="1"/>
    <col min="3" max="3" width="24" bestFit="1" customWidth="1"/>
    <col min="4" max="4" width="9.81640625" bestFit="1" customWidth="1"/>
    <col min="5" max="5" width="22.453125" bestFit="1" customWidth="1"/>
    <col min="6" max="6" width="9.54296875" style="39" bestFit="1" customWidth="1"/>
    <col min="7" max="7" width="10.90625" style="39" bestFit="1" customWidth="1"/>
    <col min="8" max="8" width="11.7265625" bestFit="1" customWidth="1"/>
  </cols>
  <sheetData>
    <row r="2" spans="2:9" ht="62" customHeight="1" x14ac:dyDescent="0.35"/>
    <row r="3" spans="2:9" ht="15" thickBot="1" x14ac:dyDescent="0.4">
      <c r="B3" t="s">
        <v>38</v>
      </c>
      <c r="C3" t="s">
        <v>39</v>
      </c>
      <c r="D3" t="s">
        <v>21</v>
      </c>
      <c r="E3" t="s">
        <v>22</v>
      </c>
      <c r="F3" s="39" t="s">
        <v>40</v>
      </c>
      <c r="G3" s="39" t="s">
        <v>41</v>
      </c>
    </row>
    <row r="4" spans="2:9" ht="12.5" customHeight="1" x14ac:dyDescent="0.35">
      <c r="B4" s="112"/>
      <c r="C4" s="113"/>
      <c r="D4" s="36"/>
      <c r="E4" s="37"/>
      <c r="F4" s="41"/>
      <c r="G4" s="40"/>
      <c r="H4" s="34"/>
      <c r="I4" s="35"/>
    </row>
    <row r="5" spans="2:9" ht="13.5" customHeight="1" x14ac:dyDescent="0.35"/>
  </sheetData>
  <pageMargins left="0.511811024" right="0.511811024" top="0.78740157499999996" bottom="0.78740157499999996" header="0.31496062000000002" footer="0.31496062000000002"/>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4CEBA-8DAB-4677-B108-2D8233F70529}">
  <sheetPr codeName="Planilha3">
    <tabColor theme="1"/>
  </sheetPr>
  <dimension ref="B2:AD30"/>
  <sheetViews>
    <sheetView zoomScale="49" zoomScaleNormal="85" workbookViewId="0">
      <pane ySplit="2" topLeftCell="A3" activePane="bottomLeft" state="frozen"/>
      <selection pane="bottomLeft" activeCell="A3" sqref="A3"/>
    </sheetView>
  </sheetViews>
  <sheetFormatPr defaultRowHeight="14.5" x14ac:dyDescent="0.35"/>
  <cols>
    <col min="1" max="1" width="5.26953125" customWidth="1"/>
    <col min="2" max="2" width="20.81640625" bestFit="1" customWidth="1"/>
    <col min="3" max="3" width="20.7265625" bestFit="1" customWidth="1"/>
    <col min="4" max="4" width="4.26953125" customWidth="1"/>
    <col min="5" max="5" width="19.7265625" bestFit="1" customWidth="1"/>
    <col min="6" max="6" width="19.7265625" customWidth="1"/>
    <col min="7" max="7" width="20.453125" bestFit="1" customWidth="1"/>
    <col min="8" max="8" width="20.453125" customWidth="1"/>
    <col min="9" max="9" width="14.7265625" bestFit="1" customWidth="1"/>
    <col min="10" max="10" width="3.26953125" customWidth="1"/>
    <col min="11" max="11" width="19" bestFit="1" customWidth="1"/>
    <col min="12" max="12" width="12.90625" bestFit="1" customWidth="1"/>
    <col min="13" max="13" width="27.1796875" bestFit="1" customWidth="1"/>
    <col min="14" max="14" width="17.7265625" bestFit="1" customWidth="1"/>
    <col min="15" max="15" width="4" customWidth="1"/>
    <col min="16" max="16" width="22.90625" bestFit="1" customWidth="1"/>
    <col min="17" max="17" width="4.1796875" customWidth="1"/>
    <col min="18" max="19" width="39.6328125" bestFit="1" customWidth="1"/>
    <col min="20" max="20" width="27.7265625" bestFit="1" customWidth="1"/>
    <col min="21" max="21" width="15.453125" bestFit="1" customWidth="1"/>
    <col min="22" max="23" width="27.1796875" bestFit="1" customWidth="1"/>
    <col min="24" max="24" width="16.453125" bestFit="1" customWidth="1"/>
    <col min="25" max="25" width="13.6328125" bestFit="1" customWidth="1"/>
    <col min="26" max="26" width="6.26953125" customWidth="1"/>
    <col min="27" max="27" width="39.6328125" bestFit="1" customWidth="1"/>
    <col min="28" max="28" width="14" bestFit="1" customWidth="1"/>
    <col min="29" max="29" width="15.6328125" bestFit="1" customWidth="1"/>
    <col min="30" max="30" width="17.54296875" bestFit="1" customWidth="1"/>
    <col min="37" max="40" width="13.6328125" bestFit="1" customWidth="1"/>
    <col min="43" max="45" width="8.90625" bestFit="1" customWidth="1"/>
  </cols>
  <sheetData>
    <row r="2" spans="2:30" ht="63" x14ac:dyDescent="0.5">
      <c r="B2" s="28" t="s">
        <v>42</v>
      </c>
      <c r="C2" s="28" t="s">
        <v>95</v>
      </c>
      <c r="E2" s="28" t="s">
        <v>89</v>
      </c>
      <c r="F2" s="28" t="s">
        <v>101</v>
      </c>
      <c r="G2" s="28" t="s">
        <v>92</v>
      </c>
      <c r="H2" s="28" t="s">
        <v>102</v>
      </c>
      <c r="I2" s="28" t="s">
        <v>93</v>
      </c>
      <c r="K2" s="28" t="s">
        <v>89</v>
      </c>
      <c r="L2" s="28" t="s">
        <v>90</v>
      </c>
      <c r="M2" s="28" t="s">
        <v>91</v>
      </c>
      <c r="N2" s="28" t="s">
        <v>92</v>
      </c>
      <c r="P2" s="16" t="s">
        <v>43</v>
      </c>
      <c r="R2" s="29" t="s">
        <v>44</v>
      </c>
      <c r="S2" s="29" t="s">
        <v>45</v>
      </c>
      <c r="T2" s="29" t="s">
        <v>46</v>
      </c>
      <c r="U2" s="29" t="s">
        <v>28</v>
      </c>
      <c r="V2" s="29" t="s">
        <v>47</v>
      </c>
      <c r="W2" s="29" t="s">
        <v>48</v>
      </c>
      <c r="X2" s="29" t="s">
        <v>49</v>
      </c>
      <c r="Y2" s="29" t="s">
        <v>50</v>
      </c>
      <c r="AA2" t="s">
        <v>45</v>
      </c>
      <c r="AB2" t="s">
        <v>51</v>
      </c>
      <c r="AC2" t="s">
        <v>40</v>
      </c>
      <c r="AD2" t="s">
        <v>41</v>
      </c>
    </row>
    <row r="3" spans="2:30" ht="21" x14ac:dyDescent="0.5">
      <c r="B3" s="16" t="s">
        <v>31</v>
      </c>
      <c r="C3" s="16" t="s">
        <v>94</v>
      </c>
      <c r="E3" s="16" t="s">
        <v>13</v>
      </c>
      <c r="F3" s="16"/>
      <c r="G3" s="16"/>
      <c r="H3" s="16"/>
      <c r="I3" s="16" t="s">
        <v>97</v>
      </c>
      <c r="K3" s="16" t="s">
        <v>37</v>
      </c>
      <c r="L3" s="16">
        <v>21</v>
      </c>
      <c r="M3" s="16" t="s">
        <v>96</v>
      </c>
      <c r="N3" s="16">
        <v>21967385126</v>
      </c>
      <c r="P3" s="16" t="s">
        <v>13</v>
      </c>
      <c r="R3" s="16" t="str">
        <f>BD_relação_produtos[[#This Row],[Produtos]]</f>
        <v>Brasileirinhas</v>
      </c>
      <c r="S3" s="16" t="s">
        <v>83</v>
      </c>
      <c r="T3" s="16" t="s">
        <v>67</v>
      </c>
      <c r="U3" s="16" t="s">
        <v>33</v>
      </c>
      <c r="V3" s="23">
        <v>4.16</v>
      </c>
      <c r="W3" s="30">
        <v>4.16</v>
      </c>
      <c r="X3" s="30">
        <v>20</v>
      </c>
      <c r="Y3" s="30">
        <f>X3-W3</f>
        <v>15.84</v>
      </c>
      <c r="AA3" s="16" t="s">
        <v>26</v>
      </c>
      <c r="AB3" s="31">
        <v>1</v>
      </c>
      <c r="AC3" s="31">
        <v>5</v>
      </c>
      <c r="AD3" s="31">
        <v>10</v>
      </c>
    </row>
    <row r="4" spans="2:30" ht="21" x14ac:dyDescent="0.5">
      <c r="B4" s="16" t="s">
        <v>53</v>
      </c>
      <c r="C4" s="16"/>
      <c r="E4" s="16" t="s">
        <v>54</v>
      </c>
      <c r="F4" s="16"/>
      <c r="G4" s="16"/>
      <c r="H4" s="16"/>
      <c r="I4" s="16" t="s">
        <v>98</v>
      </c>
      <c r="K4" s="16" t="s">
        <v>24</v>
      </c>
      <c r="L4" s="16"/>
      <c r="M4" s="16"/>
      <c r="N4" s="16"/>
      <c r="P4" s="16" t="s">
        <v>54</v>
      </c>
      <c r="R4" s="16" t="str">
        <f>BD_relação_produtos[[#This Row],[Produtos]]</f>
        <v>Canva pro</v>
      </c>
      <c r="S4" s="16" t="s">
        <v>78</v>
      </c>
      <c r="T4" s="16" t="s">
        <v>67</v>
      </c>
      <c r="U4" s="16" t="s">
        <v>33</v>
      </c>
      <c r="V4" s="23">
        <v>8</v>
      </c>
      <c r="W4" s="30">
        <v>8</v>
      </c>
      <c r="X4" s="30">
        <v>20</v>
      </c>
      <c r="Y4" s="30">
        <f>X4-W4</f>
        <v>12</v>
      </c>
      <c r="AA4" s="16" t="s">
        <v>55</v>
      </c>
      <c r="AB4" s="31"/>
      <c r="AC4" s="31"/>
      <c r="AD4" s="31">
        <v>5</v>
      </c>
    </row>
    <row r="5" spans="2:30" ht="21" x14ac:dyDescent="0.5">
      <c r="B5" s="16" t="s">
        <v>56</v>
      </c>
      <c r="C5" s="16"/>
      <c r="E5" s="16" t="s">
        <v>24</v>
      </c>
      <c r="F5" s="16"/>
      <c r="G5" s="16"/>
      <c r="H5" s="16"/>
      <c r="I5" s="16"/>
      <c r="P5" s="16" t="s">
        <v>24</v>
      </c>
      <c r="R5" s="16" t="str">
        <f>BD_relação_produtos[[#This Row],[Produtos]]</f>
        <v>Claro TV</v>
      </c>
      <c r="S5" s="16" t="s">
        <v>74</v>
      </c>
      <c r="T5" s="16" t="s">
        <v>52</v>
      </c>
      <c r="U5" s="16" t="s">
        <v>33</v>
      </c>
      <c r="V5" s="23">
        <v>8</v>
      </c>
      <c r="W5" s="30">
        <f>8/5</f>
        <v>1.6</v>
      </c>
      <c r="X5" s="30">
        <v>20</v>
      </c>
      <c r="Y5" s="30">
        <f>X5-W5</f>
        <v>18.399999999999999</v>
      </c>
      <c r="AA5" s="16" t="s">
        <v>57</v>
      </c>
      <c r="AB5" s="31"/>
      <c r="AC5" s="31"/>
      <c r="AD5" s="31">
        <v>5</v>
      </c>
    </row>
    <row r="6" spans="2:30" ht="21" x14ac:dyDescent="0.5">
      <c r="B6" s="16" t="s">
        <v>58</v>
      </c>
      <c r="C6" s="16"/>
      <c r="R6" s="16" t="str">
        <f>BD_relação_produtos[[#This Row],[Produtos]]</f>
        <v>Claro TV completa</v>
      </c>
      <c r="S6" s="16" t="s">
        <v>75</v>
      </c>
      <c r="T6" s="16" t="s">
        <v>52</v>
      </c>
      <c r="U6" s="16" t="s">
        <v>33</v>
      </c>
      <c r="V6" s="23">
        <v>15</v>
      </c>
      <c r="W6" s="30">
        <f>15/5</f>
        <v>3</v>
      </c>
      <c r="X6" s="30">
        <v>30</v>
      </c>
      <c r="Y6" s="30">
        <f>X6-W6</f>
        <v>27</v>
      </c>
      <c r="AA6" s="16" t="s">
        <v>59</v>
      </c>
      <c r="AB6" s="31"/>
      <c r="AC6" s="31"/>
      <c r="AD6" s="31">
        <v>10</v>
      </c>
    </row>
    <row r="7" spans="2:30" ht="21" x14ac:dyDescent="0.5">
      <c r="B7" s="16" t="s">
        <v>60</v>
      </c>
      <c r="C7" s="16"/>
      <c r="R7" s="16" t="str">
        <f>BD_relação_produtos[[#This Row],[Produtos]]</f>
        <v>Claro Vídeo</v>
      </c>
      <c r="S7" s="16" t="s">
        <v>73</v>
      </c>
      <c r="T7" s="16" t="s">
        <v>52</v>
      </c>
      <c r="U7" s="16" t="s">
        <v>33</v>
      </c>
      <c r="V7" s="23">
        <v>5</v>
      </c>
      <c r="W7" s="30">
        <f>5/5</f>
        <v>1</v>
      </c>
      <c r="X7" s="30">
        <v>15</v>
      </c>
      <c r="Y7" s="30">
        <f>X7-W7</f>
        <v>14</v>
      </c>
      <c r="AA7" s="16" t="s">
        <v>61</v>
      </c>
      <c r="AB7" s="31"/>
      <c r="AC7" s="31"/>
      <c r="AD7" s="31">
        <v>14</v>
      </c>
    </row>
    <row r="8" spans="2:30" ht="21" x14ac:dyDescent="0.5">
      <c r="B8" s="16" t="s">
        <v>62</v>
      </c>
      <c r="C8" s="16"/>
      <c r="R8" s="16" t="str">
        <f>BD_relação_produtos[[#This Row],[Produtos]]</f>
        <v>Combo Disney &amp; Star+</v>
      </c>
      <c r="S8" s="16" t="s">
        <v>61</v>
      </c>
      <c r="T8" s="16" t="s">
        <v>52</v>
      </c>
      <c r="U8" s="16" t="s">
        <v>33</v>
      </c>
      <c r="V8" s="23">
        <v>20</v>
      </c>
      <c r="W8" s="30">
        <f>20/14</f>
        <v>1.4285714285714286</v>
      </c>
      <c r="X8" s="30">
        <v>18</v>
      </c>
      <c r="Y8" s="30">
        <f>X8-W8</f>
        <v>16.571428571428573</v>
      </c>
      <c r="AA8" s="16" t="s">
        <v>63</v>
      </c>
      <c r="AB8" s="31"/>
      <c r="AC8" s="31"/>
      <c r="AD8" s="31">
        <v>14</v>
      </c>
    </row>
    <row r="9" spans="2:30" ht="21" x14ac:dyDescent="0.5">
      <c r="B9" s="16" t="s">
        <v>24</v>
      </c>
      <c r="C9" s="16"/>
      <c r="R9" s="16" t="str">
        <f>BD_relação_produtos[[#This Row],[Produtos]]</f>
        <v>Crunchyroll</v>
      </c>
      <c r="S9" s="16" t="s">
        <v>79</v>
      </c>
      <c r="T9" s="16" t="s">
        <v>52</v>
      </c>
      <c r="U9" s="16" t="s">
        <v>33</v>
      </c>
      <c r="V9" s="23">
        <v>4</v>
      </c>
      <c r="W9" s="30">
        <v>4</v>
      </c>
      <c r="X9" s="30">
        <v>18</v>
      </c>
      <c r="Y9" s="30">
        <f>X9-W9</f>
        <v>14</v>
      </c>
      <c r="AA9" s="16" t="s">
        <v>64</v>
      </c>
      <c r="AB9" s="31"/>
      <c r="AC9" s="31"/>
      <c r="AD9" s="31">
        <v>6</v>
      </c>
    </row>
    <row r="10" spans="2:30" ht="21" x14ac:dyDescent="0.5">
      <c r="R10" s="16" t="str">
        <f>BD_relação_produtos[[#This Row],[Produtos]]</f>
        <v>Discovery</v>
      </c>
      <c r="S10" s="16" t="s">
        <v>71</v>
      </c>
      <c r="T10" s="16" t="s">
        <v>65</v>
      </c>
      <c r="U10" s="16" t="s">
        <v>33</v>
      </c>
      <c r="V10" s="23">
        <v>1</v>
      </c>
      <c r="W10" s="30">
        <v>1</v>
      </c>
      <c r="X10" s="30">
        <v>15</v>
      </c>
      <c r="Y10" s="30">
        <f>X10-W10</f>
        <v>14</v>
      </c>
      <c r="AA10" s="16" t="s">
        <v>66</v>
      </c>
      <c r="AB10" s="31"/>
      <c r="AC10" s="31"/>
      <c r="AD10" s="31">
        <v>5</v>
      </c>
    </row>
    <row r="11" spans="2:30" ht="21" x14ac:dyDescent="0.5">
      <c r="R11" s="16" t="str">
        <f>BD_relação_produtos[[#This Row],[Produtos]]</f>
        <v>Dizer</v>
      </c>
      <c r="S11" s="16" t="s">
        <v>72</v>
      </c>
      <c r="T11" s="16" t="s">
        <v>67</v>
      </c>
      <c r="U11" s="16" t="s">
        <v>33</v>
      </c>
      <c r="V11" s="23">
        <v>5</v>
      </c>
      <c r="W11" s="30">
        <v>5</v>
      </c>
      <c r="X11" s="30">
        <v>15</v>
      </c>
      <c r="Y11" s="30">
        <f>X11-W11</f>
        <v>10</v>
      </c>
      <c r="AA11" s="16" t="s">
        <v>68</v>
      </c>
      <c r="AB11" s="31"/>
      <c r="AC11" s="31"/>
      <c r="AD11" s="31">
        <v>7</v>
      </c>
    </row>
    <row r="12" spans="2:30" ht="21" x14ac:dyDescent="0.5">
      <c r="R12" s="16" t="str">
        <f>BD_relação_produtos[[#This Row],[Produtos]]</f>
        <v>FlaTV</v>
      </c>
      <c r="S12" s="16" t="s">
        <v>77</v>
      </c>
      <c r="T12" s="16" t="s">
        <v>67</v>
      </c>
      <c r="U12" s="16" t="s">
        <v>33</v>
      </c>
      <c r="V12" s="23">
        <v>8</v>
      </c>
      <c r="W12" s="30">
        <v>8</v>
      </c>
      <c r="X12" s="30">
        <v>18</v>
      </c>
      <c r="Y12" s="30">
        <f>X12-W12</f>
        <v>10</v>
      </c>
      <c r="AA12" s="16" t="s">
        <v>69</v>
      </c>
      <c r="AB12" s="31"/>
      <c r="AC12" s="31"/>
      <c r="AD12" s="31">
        <v>6</v>
      </c>
    </row>
    <row r="13" spans="2:30" ht="21" x14ac:dyDescent="0.5">
      <c r="R13" s="16" t="str">
        <f>BD_relação_produtos[[#This Row],[Produtos]]</f>
        <v>Globo Play + canais</v>
      </c>
      <c r="S13" s="16" t="s">
        <v>59</v>
      </c>
      <c r="T13" s="16" t="s">
        <v>52</v>
      </c>
      <c r="U13" s="16" t="s">
        <v>33</v>
      </c>
      <c r="V13" s="23">
        <v>8</v>
      </c>
      <c r="W13" s="30">
        <f>(8/10)*1</f>
        <v>0.8</v>
      </c>
      <c r="X13" s="30">
        <v>15</v>
      </c>
      <c r="Y13" s="30">
        <f>X13-W13</f>
        <v>14.2</v>
      </c>
      <c r="AA13" s="16" t="s">
        <v>70</v>
      </c>
      <c r="AB13" s="31"/>
      <c r="AC13" s="31"/>
      <c r="AD13" s="31">
        <v>4</v>
      </c>
    </row>
    <row r="14" spans="2:30" ht="21" x14ac:dyDescent="0.5">
      <c r="R14" s="16" t="str">
        <f>BD_relação_produtos[[#This Row],[Produtos]]</f>
        <v>Globo Play + canais + Premiere</v>
      </c>
      <c r="S14" s="16" t="s">
        <v>57</v>
      </c>
      <c r="T14" s="16" t="s">
        <v>52</v>
      </c>
      <c r="U14" s="16" t="s">
        <v>33</v>
      </c>
      <c r="V14" s="23">
        <v>5</v>
      </c>
      <c r="W14" s="30">
        <f>(5/5)*1</f>
        <v>1</v>
      </c>
      <c r="X14" s="30">
        <v>30</v>
      </c>
      <c r="Y14" s="30">
        <f>X14-W14</f>
        <v>29</v>
      </c>
      <c r="AA14" s="16" t="s">
        <v>71</v>
      </c>
      <c r="AB14" s="31"/>
      <c r="AC14" s="31"/>
      <c r="AD14" s="31">
        <v>1</v>
      </c>
    </row>
    <row r="15" spans="2:30" ht="21" x14ac:dyDescent="0.5">
      <c r="R15" s="16" t="str">
        <f>BD_relação_produtos[[#This Row],[Produtos]]</f>
        <v>Globo Play + canais + Telecine</v>
      </c>
      <c r="S15" s="16" t="s">
        <v>55</v>
      </c>
      <c r="T15" s="16" t="s">
        <v>52</v>
      </c>
      <c r="U15" s="16" t="s">
        <v>33</v>
      </c>
      <c r="V15" s="23">
        <v>5</v>
      </c>
      <c r="W15" s="30">
        <f>(5/5)*1</f>
        <v>1</v>
      </c>
      <c r="X15" s="30">
        <v>30</v>
      </c>
      <c r="Y15" s="30">
        <f>X15-W15</f>
        <v>29</v>
      </c>
      <c r="AA15" s="16" t="s">
        <v>72</v>
      </c>
      <c r="AB15" s="31"/>
      <c r="AC15" s="31"/>
      <c r="AD15" s="31">
        <v>1</v>
      </c>
    </row>
    <row r="16" spans="2:30" ht="21" x14ac:dyDescent="0.5">
      <c r="R16" s="16" t="str">
        <f>BD_relação_produtos[[#This Row],[Produtos]]</f>
        <v>HBO/Max</v>
      </c>
      <c r="S16" s="16" t="s">
        <v>68</v>
      </c>
      <c r="T16" s="16" t="s">
        <v>52</v>
      </c>
      <c r="U16" s="16" t="s">
        <v>33</v>
      </c>
      <c r="V16" s="23">
        <v>5</v>
      </c>
      <c r="W16" s="30">
        <f>5/7</f>
        <v>0.7142857142857143</v>
      </c>
      <c r="X16" s="30">
        <v>15</v>
      </c>
      <c r="Y16" s="30">
        <f>X16-W16</f>
        <v>14.285714285714286</v>
      </c>
      <c r="AA16" s="16" t="s">
        <v>73</v>
      </c>
      <c r="AB16" s="31"/>
      <c r="AC16" s="31"/>
      <c r="AD16" s="31">
        <v>5</v>
      </c>
    </row>
    <row r="17" spans="18:30" ht="21" x14ac:dyDescent="0.5">
      <c r="R17" s="16" t="str">
        <f>BD_relação_produtos[[#This Row],[Produtos]]</f>
        <v>IPTV</v>
      </c>
      <c r="S17" s="16" t="s">
        <v>84</v>
      </c>
      <c r="T17" s="16" t="s">
        <v>67</v>
      </c>
      <c r="U17" s="16" t="s">
        <v>33</v>
      </c>
      <c r="V17" s="23">
        <v>13</v>
      </c>
      <c r="W17" s="30">
        <v>13</v>
      </c>
      <c r="X17" s="30">
        <v>35</v>
      </c>
      <c r="Y17" s="30">
        <f>X17-W17</f>
        <v>22</v>
      </c>
      <c r="AA17" s="16" t="s">
        <v>74</v>
      </c>
      <c r="AB17" s="31"/>
      <c r="AC17" s="31"/>
      <c r="AD17" s="31">
        <v>5</v>
      </c>
    </row>
    <row r="18" spans="18:30" ht="21" x14ac:dyDescent="0.5">
      <c r="R18" s="16" t="str">
        <f>BD_relação_produtos[[#This Row],[Produtos]]</f>
        <v>My family</v>
      </c>
      <c r="S18" s="16" t="s">
        <v>85</v>
      </c>
      <c r="T18" s="16" t="s">
        <v>67</v>
      </c>
      <c r="U18" s="16" t="s">
        <v>33</v>
      </c>
      <c r="V18" s="23">
        <v>10</v>
      </c>
      <c r="W18" s="30">
        <v>10</v>
      </c>
      <c r="X18" s="30">
        <v>30</v>
      </c>
      <c r="Y18" s="30">
        <f>X18-W18</f>
        <v>20</v>
      </c>
      <c r="AA18" s="16" t="s">
        <v>75</v>
      </c>
      <c r="AB18" s="31"/>
      <c r="AC18" s="31"/>
      <c r="AD18" s="31">
        <v>5</v>
      </c>
    </row>
    <row r="19" spans="18:30" ht="21" x14ac:dyDescent="0.5">
      <c r="R19" s="16" t="str">
        <f>BD_relação_produtos[[#This Row],[Produtos]]</f>
        <v>Netflix</v>
      </c>
      <c r="S19" s="16" t="s">
        <v>26</v>
      </c>
      <c r="T19" s="16" t="s">
        <v>52</v>
      </c>
      <c r="U19" s="16" t="s">
        <v>33</v>
      </c>
      <c r="V19" s="23">
        <v>50</v>
      </c>
      <c r="W19" s="30">
        <f>(50/8)</f>
        <v>6.25</v>
      </c>
      <c r="X19" s="30">
        <f>25*1</f>
        <v>25</v>
      </c>
      <c r="Y19" s="30">
        <f>X19-W19</f>
        <v>18.75</v>
      </c>
      <c r="AA19" s="16" t="s">
        <v>76</v>
      </c>
      <c r="AB19" s="31"/>
      <c r="AC19" s="31"/>
      <c r="AD19" s="31">
        <v>2</v>
      </c>
    </row>
    <row r="20" spans="18:30" ht="21" x14ac:dyDescent="0.5">
      <c r="R20" s="16" t="str">
        <f>BD_relação_produtos[[#This Row],[Produtos]]</f>
        <v>Paramount</v>
      </c>
      <c r="S20" s="16" t="s">
        <v>64</v>
      </c>
      <c r="T20" s="16" t="s">
        <v>65</v>
      </c>
      <c r="U20" s="16" t="s">
        <v>33</v>
      </c>
      <c r="V20" s="23">
        <v>5</v>
      </c>
      <c r="W20" s="30">
        <f>5/6</f>
        <v>0.83333333333333337</v>
      </c>
      <c r="X20" s="30">
        <v>15</v>
      </c>
      <c r="Y20" s="30">
        <f>X20-W20</f>
        <v>14.166666666666666</v>
      </c>
      <c r="AA20" s="16" t="s">
        <v>77</v>
      </c>
      <c r="AB20" s="31"/>
      <c r="AC20" s="31"/>
      <c r="AD20" s="31">
        <v>1</v>
      </c>
    </row>
    <row r="21" spans="18:30" ht="21" x14ac:dyDescent="0.5">
      <c r="R21" s="16" t="str">
        <f>BD_relação_produtos[[#This Row],[Produtos]]</f>
        <v>Play plus</v>
      </c>
      <c r="S21" s="16" t="s">
        <v>80</v>
      </c>
      <c r="T21" s="16" t="s">
        <v>52</v>
      </c>
      <c r="U21" s="16" t="s">
        <v>33</v>
      </c>
      <c r="V21" s="23">
        <v>5</v>
      </c>
      <c r="W21" s="30">
        <f>5/50</f>
        <v>0.1</v>
      </c>
      <c r="X21" s="30">
        <v>15</v>
      </c>
      <c r="Y21" s="30">
        <f>X21-W21</f>
        <v>14.9</v>
      </c>
      <c r="AA21" s="16" t="s">
        <v>78</v>
      </c>
      <c r="AB21" s="31"/>
      <c r="AC21" s="31"/>
      <c r="AD21" s="31">
        <v>1</v>
      </c>
    </row>
    <row r="22" spans="18:30" ht="21" x14ac:dyDescent="0.5">
      <c r="R22" s="16" t="str">
        <f>BD_relação_produtos[[#This Row],[Produtos]]</f>
        <v>Prime vídeo</v>
      </c>
      <c r="S22" s="16" t="s">
        <v>69</v>
      </c>
      <c r="T22" s="16" t="s">
        <v>65</v>
      </c>
      <c r="U22" s="16" t="s">
        <v>33</v>
      </c>
      <c r="V22" s="23">
        <v>8</v>
      </c>
      <c r="W22" s="30">
        <f>8/6</f>
        <v>1.3333333333333333</v>
      </c>
      <c r="X22" s="30">
        <v>15</v>
      </c>
      <c r="Y22" s="30">
        <f>X22-W22</f>
        <v>13.666666666666666</v>
      </c>
      <c r="AA22" s="16" t="s">
        <v>79</v>
      </c>
      <c r="AB22" s="31"/>
      <c r="AC22" s="31"/>
      <c r="AD22" s="31">
        <v>2</v>
      </c>
    </row>
    <row r="23" spans="18:30" ht="21" x14ac:dyDescent="0.5">
      <c r="R23" s="16" t="str">
        <f>BD_relação_produtos[[#This Row],[Produtos]]</f>
        <v>Sexy hot!</v>
      </c>
      <c r="S23" s="16" t="s">
        <v>81</v>
      </c>
      <c r="T23" s="16" t="s">
        <v>67</v>
      </c>
      <c r="U23" s="16" t="s">
        <v>33</v>
      </c>
      <c r="V23" s="23">
        <v>4.16</v>
      </c>
      <c r="W23" s="30">
        <v>4.16</v>
      </c>
      <c r="X23" s="30">
        <v>15</v>
      </c>
      <c r="Y23" s="30">
        <f>X23-W23</f>
        <v>10.84</v>
      </c>
      <c r="AA23" s="16" t="s">
        <v>80</v>
      </c>
      <c r="AB23" s="31"/>
      <c r="AC23" s="31"/>
      <c r="AD23" s="31">
        <v>50</v>
      </c>
    </row>
    <row r="24" spans="18:30" ht="21" x14ac:dyDescent="0.5">
      <c r="R24" s="16" t="str">
        <f>BD_relação_produtos[[#This Row],[Produtos]]</f>
        <v>Sky</v>
      </c>
      <c r="S24" s="16" t="s">
        <v>87</v>
      </c>
      <c r="T24" s="16" t="s">
        <v>67</v>
      </c>
      <c r="U24" s="16" t="s">
        <v>33</v>
      </c>
      <c r="V24" s="23">
        <v>7</v>
      </c>
      <c r="W24" s="30">
        <v>7</v>
      </c>
      <c r="X24" s="30">
        <v>30</v>
      </c>
      <c r="Y24" s="30">
        <f>X24-W24</f>
        <v>23</v>
      </c>
      <c r="AA24" s="16" t="s">
        <v>81</v>
      </c>
      <c r="AB24" s="31"/>
      <c r="AC24" s="31"/>
      <c r="AD24" s="31">
        <v>1</v>
      </c>
    </row>
    <row r="25" spans="18:30" ht="21" x14ac:dyDescent="0.5">
      <c r="R25" s="16" t="str">
        <f>BD_relação_produtos[[#This Row],[Produtos]]</f>
        <v>Spotify</v>
      </c>
      <c r="S25" s="16" t="s">
        <v>66</v>
      </c>
      <c r="T25" s="16" t="s">
        <v>67</v>
      </c>
      <c r="U25" s="16" t="s">
        <v>33</v>
      </c>
      <c r="V25" s="23">
        <v>5</v>
      </c>
      <c r="W25" s="30">
        <v>5</v>
      </c>
      <c r="X25" s="30">
        <v>15</v>
      </c>
      <c r="Y25" s="30">
        <f>X25-W25</f>
        <v>10</v>
      </c>
      <c r="AA25" s="16" t="s">
        <v>82</v>
      </c>
      <c r="AB25" s="31"/>
      <c r="AC25" s="31"/>
      <c r="AD25" s="31">
        <v>1</v>
      </c>
    </row>
    <row r="26" spans="18:30" ht="21" x14ac:dyDescent="0.5">
      <c r="R26" s="16" t="str">
        <f>BD_relação_produtos[[#This Row],[Produtos]]</f>
        <v>Star+</v>
      </c>
      <c r="S26" s="16" t="s">
        <v>63</v>
      </c>
      <c r="T26" s="16" t="s">
        <v>52</v>
      </c>
      <c r="U26" s="16" t="s">
        <v>33</v>
      </c>
      <c r="V26" s="23">
        <v>12</v>
      </c>
      <c r="W26" s="30">
        <f>12/14</f>
        <v>0.8571428571428571</v>
      </c>
      <c r="X26" s="30">
        <v>15</v>
      </c>
      <c r="Y26" s="30">
        <f>X26-W26</f>
        <v>14.142857142857142</v>
      </c>
      <c r="AA26" s="16" t="s">
        <v>83</v>
      </c>
      <c r="AB26" s="31"/>
      <c r="AC26" s="31"/>
      <c r="AD26" s="31">
        <v>1</v>
      </c>
    </row>
    <row r="27" spans="18:30" ht="21" x14ac:dyDescent="0.5">
      <c r="R27" s="16" t="str">
        <f>BD_relação_produtos[[#This Row],[Produtos]]</f>
        <v>Telecine</v>
      </c>
      <c r="S27" s="16" t="s">
        <v>70</v>
      </c>
      <c r="T27" s="16" t="s">
        <v>52</v>
      </c>
      <c r="U27" s="16" t="s">
        <v>33</v>
      </c>
      <c r="V27" s="23">
        <v>5</v>
      </c>
      <c r="W27" s="30">
        <f>5/4</f>
        <v>1.25</v>
      </c>
      <c r="X27" s="30">
        <v>15</v>
      </c>
      <c r="Y27" s="30">
        <f>X27-W27</f>
        <v>13.75</v>
      </c>
      <c r="AA27" s="16" t="s">
        <v>84</v>
      </c>
      <c r="AB27" s="31"/>
      <c r="AC27" s="31"/>
      <c r="AD27" s="31">
        <v>1</v>
      </c>
    </row>
    <row r="28" spans="18:30" ht="21" x14ac:dyDescent="0.5">
      <c r="R28" s="16" t="str">
        <f>BD_relação_produtos[[#This Row],[Produtos]]</f>
        <v>Tufus</v>
      </c>
      <c r="S28" s="16" t="s">
        <v>82</v>
      </c>
      <c r="T28" s="16" t="s">
        <v>67</v>
      </c>
      <c r="U28" s="16" t="s">
        <v>33</v>
      </c>
      <c r="V28" s="23">
        <v>4.16</v>
      </c>
      <c r="W28" s="30">
        <v>4.16</v>
      </c>
      <c r="X28" s="30">
        <v>20</v>
      </c>
      <c r="Y28" s="30">
        <f>X28-W28</f>
        <v>15.84</v>
      </c>
      <c r="AA28" s="16" t="s">
        <v>85</v>
      </c>
      <c r="AB28" s="31"/>
      <c r="AC28" s="31"/>
      <c r="AD28" s="31">
        <v>1</v>
      </c>
    </row>
    <row r="29" spans="18:30" ht="21" x14ac:dyDescent="0.5">
      <c r="R29" s="16" t="str">
        <f>BD_relação_produtos[[#This Row],[Produtos]]</f>
        <v>Vivo TV</v>
      </c>
      <c r="S29" s="16" t="s">
        <v>76</v>
      </c>
      <c r="T29" s="16" t="s">
        <v>52</v>
      </c>
      <c r="U29" s="16" t="s">
        <v>33</v>
      </c>
      <c r="V29" s="23">
        <v>5</v>
      </c>
      <c r="W29" s="30">
        <f>5/2</f>
        <v>2.5</v>
      </c>
      <c r="X29" s="30">
        <v>30</v>
      </c>
      <c r="Y29" s="30">
        <f>X29-W29</f>
        <v>27.5</v>
      </c>
      <c r="AA29" s="16" t="s">
        <v>86</v>
      </c>
      <c r="AB29" s="31"/>
      <c r="AC29" s="31"/>
      <c r="AD29" s="31">
        <v>1</v>
      </c>
    </row>
    <row r="30" spans="18:30" ht="21" x14ac:dyDescent="0.5">
      <c r="R30" s="16" t="str">
        <f>BD_relação_produtos[[#This Row],[Produtos]]</f>
        <v>YouCine</v>
      </c>
      <c r="S30" s="16" t="s">
        <v>86</v>
      </c>
      <c r="T30" s="16" t="s">
        <v>67</v>
      </c>
      <c r="U30" s="16" t="s">
        <v>33</v>
      </c>
      <c r="V30" s="23">
        <v>4.16</v>
      </c>
      <c r="W30" s="30">
        <v>4.16</v>
      </c>
      <c r="X30" s="30">
        <v>15</v>
      </c>
      <c r="Y30" s="30">
        <f>X30-W30</f>
        <v>10.84</v>
      </c>
      <c r="AA30" s="16" t="s">
        <v>87</v>
      </c>
      <c r="AB30" s="31"/>
      <c r="AC30" s="31"/>
      <c r="AD30" s="31">
        <v>1</v>
      </c>
    </row>
  </sheetData>
  <phoneticPr fontId="4" type="noConversion"/>
  <dataValidations count="4">
    <dataValidation type="list" allowBlank="1" showInputMessage="1" showErrorMessage="1" sqref="U4:U30" xr:uid="{9C6BCC10-D9DA-4C90-94A2-F1524E6362DD}">
      <formula1>"Conta(s),Perfil(s),Acesso(s)"</formula1>
    </dataValidation>
    <dataValidation type="list" allowBlank="1" showInputMessage="1" showErrorMessage="1" sqref="U3" xr:uid="{9318FF3D-7263-492F-ADF0-5284083C0F61}">
      <formula1>"Conta(s)"</formula1>
    </dataValidation>
    <dataValidation type="list" allowBlank="1" showInputMessage="1" showErrorMessage="1" sqref="I3:I5" xr:uid="{5E68EF3B-E207-4A84-9FF0-45E921D9C5A0}">
      <formula1>"NA,Vededor(a),Divulgador(a),Associado(a),CEO"</formula1>
    </dataValidation>
    <dataValidation type="list" allowBlank="1" showInputMessage="1" showErrorMessage="1" sqref="T3:T30" xr:uid="{CD820805-F444-49B3-A10F-F22A8CA4AD19}">
      <formula1>"Perfis,Acesso_único,Acessos_Simultâneos"</formula1>
    </dataValidation>
  </dataValidations>
  <pageMargins left="0.511811024" right="0.511811024" top="0.78740157499999996" bottom="0.78740157499999996" header="0.31496062000000002" footer="0.31496062000000002"/>
  <pageSetup paperSize="9" scale="95" fitToWidth="0" fitToHeight="0" orientation="landscape" r:id="rId1"/>
  <tableParts count="6">
    <tablePart r:id="rId2"/>
    <tablePart r:id="rId3"/>
    <tablePart r:id="rId4"/>
    <tablePart r:id="rId5"/>
    <tablePart r:id="rId6"/>
    <tablePart r:id="rId7"/>
  </tableParts>
</worksheet>
</file>

<file path=docMetadata/LabelInfo.xml><?xml version="1.0" encoding="utf-8"?>
<clbl:labelList xmlns:clbl="http://schemas.microsoft.com/office/2020/mipLabelMetadata">
  <clbl:label id="{30cf3a87-45e5-437f-a5cb-eff8e766e152}" enabled="0" method="" siteId="{30cf3a87-45e5-437f-a5cb-eff8e766e152}"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Formulário de venda</vt:lpstr>
      <vt:lpstr>Formulário de saída</vt:lpstr>
      <vt:lpstr>Cadastro de clientes</vt:lpstr>
      <vt:lpstr>Cadastro de produtos</vt:lpstr>
      <vt:lpstr>Cadastro de funcionários</vt:lpstr>
      <vt:lpstr>Fluxo de caixa</vt:lpstr>
      <vt:lpstr>Estoque</vt:lpstr>
      <vt:lpstr>Banco de dados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Fernando Oliveira</dc:creator>
  <cp:keywords/>
  <dc:description/>
  <cp:lastModifiedBy>Fernando Lima</cp:lastModifiedBy>
  <cp:revision/>
  <dcterms:created xsi:type="dcterms:W3CDTF">2024-07-19T23:43:24Z</dcterms:created>
  <dcterms:modified xsi:type="dcterms:W3CDTF">2024-08-11T00:43:49Z</dcterms:modified>
  <cp:category/>
  <cp:contentStatus/>
</cp:coreProperties>
</file>